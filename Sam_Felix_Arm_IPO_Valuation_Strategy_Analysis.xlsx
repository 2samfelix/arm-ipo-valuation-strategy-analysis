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8.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Historical Financials" sheetId="2" state="visible" r:id="rId4"/>
    <sheet name="Revenue Mix &amp; KPIs" sheetId="3" state="visible" r:id="rId5"/>
    <sheet name="Balance Sheet Snapshot" sheetId="4" state="visible" r:id="rId6"/>
    <sheet name="Source Log" sheetId="5" state="visible" r:id="rId7"/>
    <sheet name="IPO Snapshot" sheetId="6" state="visible" r:id="rId8"/>
    <sheet name="CCA" sheetId="7" state="visible" r:id="rId9"/>
    <sheet name="IPO Valuation" sheetId="8" state="visible" r:id="rId10"/>
    <sheet name="DCF Valuation" sheetId="9" state="visible" r:id="rId11"/>
    <sheet name="Post-IPO Performance" sheetId="10" state="visible" r:id="rId12"/>
    <sheet name="Strategy &amp; Risks" sheetId="11" state="visible" r:id="rId13"/>
    <sheet name="Executive Summary" sheetId="12" state="visible" r:id="rId14"/>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<sst xmlns="http://schemas.openxmlformats.org/spreadsheetml/2006/main" count="720" uniqueCount="540">
  <si>
    <t xml:space="preserve">Arm Holdings IPO Valuation &amp; Strategy Analysis — Phase 2 Workbook</t>
  </si>
  <si>
    <t xml:space="preserve">Purpose</t>
  </si>
  <si>
    <t xml:space="preserve">Phase 2 establishes the historical financial base for the Arm IPO case study. It covers FY2022–FY2026 actual results, revenue mix, margins, cash flow, and a balance-sheet snapshot. Later phases will add comparable-company valuation, IPO pricing analysis, post-IPO performance, and strategy.</t>
  </si>
  <si>
    <t xml:space="preserve">Model Conventions</t>
  </si>
  <si>
    <t xml:space="preserve">Blue font</t>
  </si>
  <si>
    <t xml:space="preserve">Hardcoded / source-reported historical inputs</t>
  </si>
  <si>
    <t xml:space="preserve">Black font</t>
  </si>
  <si>
    <t xml:space="preserve">Formulas and calculated metrics</t>
  </si>
  <si>
    <t xml:space="preserve">Green font</t>
  </si>
  <si>
    <t xml:space="preserve">Cross-sheet links (used in later phases)</t>
  </si>
  <si>
    <t xml:space="preserve">Units</t>
  </si>
  <si>
    <t xml:space="preserve">$ in millions except per-share data and percentages</t>
  </si>
  <si>
    <t xml:space="preserve">Fiscal year</t>
  </si>
  <si>
    <t xml:space="preserve">Arm fiscal year ends March 31</t>
  </si>
  <si>
    <t xml:space="preserve">Phase Map</t>
  </si>
  <si>
    <t xml:space="preserve">Phase</t>
  </si>
  <si>
    <t xml:space="preserve">Status</t>
  </si>
  <si>
    <t xml:space="preserve">Output</t>
  </si>
  <si>
    <t xml:space="preserve">1 — IPO Research</t>
  </si>
  <si>
    <t xml:space="preserve">Complete</t>
  </si>
  <si>
    <t xml:space="preserve">Transaction facts, business model, risks, peer universe</t>
  </si>
  <si>
    <t xml:space="preserve">2 — Historical Financials</t>
  </si>
  <si>
    <t xml:space="preserve">Historical financials + IPO-date snapshot</t>
  </si>
  <si>
    <t xml:space="preserve">3 — Comparable Companies</t>
  </si>
  <si>
    <t xml:space="preserve">Six-peer CCA populated with 9/13/2023 prices and pre-IPO LTM financials</t>
  </si>
  <si>
    <t xml:space="preserve">4 — IPO Valuation</t>
  </si>
  <si>
    <t xml:space="preserve">Comp-implied valuation range and IPO pricing conclusion</t>
  </si>
  <si>
    <t xml:space="preserve">5 — Post-IPO Performance</t>
  </si>
  <si>
    <t xml:space="preserve">Operating validation, market milestones, Q1 FY2027 check-in</t>
  </si>
  <si>
    <t xml:space="preserve">6 — Strategy &amp; Risks</t>
  </si>
  <si>
    <t xml:space="preserve">Growth-driver and risk framework</t>
  </si>
  <si>
    <t xml:space="preserve">7 — Executive Summary</t>
  </si>
  <si>
    <t xml:space="preserve">Project status: analytical workbook complete. The final workbook now contains historical financials, IPO snapshot, six-peer CCA, comp-implied valuation range, post-IPO performance, strategy/risk analysis, and executive summary. A report, presentation, and GitHub README should accompany this workbook in the public portfolio.</t>
  </si>
  <si>
    <t xml:space="preserve">Arm Holdings plc — Historical Financials</t>
  </si>
  <si>
    <t xml:space="preserve">$ in millions except per-share data | Fiscal year ended March 31</t>
  </si>
  <si>
    <t xml:space="preserve">FY2022A</t>
  </si>
  <si>
    <t xml:space="preserve">FY2023A</t>
  </si>
  <si>
    <t xml:space="preserve">FY2024A</t>
  </si>
  <si>
    <t xml:space="preserve">FY2025A</t>
  </si>
  <si>
    <t xml:space="preserve">FY2026A</t>
  </si>
  <si>
    <t xml:space="preserve">Source</t>
  </si>
  <si>
    <t xml:space="preserve">Income Statement</t>
  </si>
  <si>
    <t xml:space="preserve">License &amp; Other Revenue</t>
  </si>
  <si>
    <t xml:space="preserve">S1/S2/S3</t>
  </si>
  <si>
    <t xml:space="preserve">Royalty Revenue</t>
  </si>
  <si>
    <t xml:space="preserve">Total Revenue</t>
  </si>
  <si>
    <t xml:space="preserve">YoY Revenue Growth</t>
  </si>
  <si>
    <t xml:space="preserve">-</t>
  </si>
  <si>
    <t xml:space="preserve">Calculated</t>
  </si>
  <si>
    <t xml:space="preserve">Cost of Sales</t>
  </si>
  <si>
    <t xml:space="preserve">Gross Profit</t>
  </si>
  <si>
    <t xml:space="preserve">Gross Margin</t>
  </si>
  <si>
    <t xml:space="preserve">Research &amp; Development</t>
  </si>
  <si>
    <t xml:space="preserve">R&amp;D as % of Revenue</t>
  </si>
  <si>
    <t xml:space="preserve">Selling, General &amp; Administrative</t>
  </si>
  <si>
    <t xml:space="preserve">SG&amp;A as % of Revenue</t>
  </si>
  <si>
    <t xml:space="preserve">Other Operating Expense</t>
  </si>
  <si>
    <t xml:space="preserve">Operating Income</t>
  </si>
  <si>
    <t xml:space="preserve">Operating Margin</t>
  </si>
  <si>
    <t xml:space="preserve">Pre-Tax Income</t>
  </si>
  <si>
    <t xml:space="preserve">Net Income</t>
  </si>
  <si>
    <t xml:space="preserve">Net Margin</t>
  </si>
  <si>
    <t xml:space="preserve">Diluted EPS</t>
  </si>
  <si>
    <t xml:space="preserve">Diluted Weighted Avg. Shares (mm)</t>
  </si>
  <si>
    <t xml:space="preserve">Cash Flow</t>
  </si>
  <si>
    <t xml:space="preserve">Cash From Operations</t>
  </si>
  <si>
    <t xml:space="preserve">Capital Expenditures — PP&amp;E</t>
  </si>
  <si>
    <t xml:space="preserve">Simple Free Cash Flow (CFO - Capex)</t>
  </si>
  <si>
    <t xml:space="preserve">Cash &amp; Cash Equivalents, End of Period</t>
  </si>
  <si>
    <t xml:space="preserve">Arm Revenue Mix &amp; Historical KPI Trends</t>
  </si>
  <si>
    <t xml:space="preserve">$ in millions | Fiscal year ended March 31</t>
  </si>
  <si>
    <t xml:space="preserve">Series</t>
  </si>
  <si>
    <t xml:space="preserve">License &amp; Other</t>
  </si>
  <si>
    <t xml:space="preserve">Royalty</t>
  </si>
  <si>
    <t xml:space="preserve">Revenue Mix</t>
  </si>
  <si>
    <t xml:space="preserve">License &amp; Other % of Revenue</t>
  </si>
  <si>
    <t xml:space="preserve">Royalty % of Revenue</t>
  </si>
  <si>
    <t xml:space="preserve">Royalty / License Revenue Ratio</t>
  </si>
  <si>
    <t xml:space="preserve">Key Profitability &amp; Cash Metrics</t>
  </si>
  <si>
    <t xml:space="preserve">Simple FCF Margin</t>
  </si>
  <si>
    <t xml:space="preserve">Arm Holdings plc — Balance Sheet Snapshot</t>
  </si>
  <si>
    <t xml:space="preserve">$ in millions | Period-end values</t>
  </si>
  <si>
    <t xml:space="preserve">Selected Balance Sheet Items</t>
  </si>
  <si>
    <t xml:space="preserve">Cash &amp; Cash Equivalents</t>
  </si>
  <si>
    <t xml:space="preserve">Short-Term Investments</t>
  </si>
  <si>
    <t xml:space="preserve">Accounts Receivable</t>
  </si>
  <si>
    <t xml:space="preserve">Contract Assets — Current</t>
  </si>
  <si>
    <t xml:space="preserve">Total Current Assets</t>
  </si>
  <si>
    <t xml:space="preserve">Property &amp; Equipment, Net</t>
  </si>
  <si>
    <t xml:space="preserve">Total Assets</t>
  </si>
  <si>
    <t xml:space="preserve">Total Current Liabilities</t>
  </si>
  <si>
    <t xml:space="preserve">Total Liabilities</t>
  </si>
  <si>
    <t xml:space="preserve">Shareholders' Equity</t>
  </si>
  <si>
    <t xml:space="preserve">Net Cash + Short-Term Investments</t>
  </si>
  <si>
    <t xml:space="preserve">Current Ratio</t>
  </si>
  <si>
    <t xml:space="preserve">Primary Source Log</t>
  </si>
  <si>
    <t xml:space="preserve">Source ID</t>
  </si>
  <si>
    <t xml:space="preserve">Document</t>
  </si>
  <si>
    <t xml:space="preserve">Periods Used</t>
  </si>
  <si>
    <t xml:space="preserve">Primary URL</t>
  </si>
  <si>
    <t xml:space="preserve">Used For</t>
  </si>
  <si>
    <t xml:space="preserve">S1</t>
  </si>
  <si>
    <t xml:space="preserve">Arm Holdings plc Form 20-F, FY2026</t>
  </si>
  <si>
    <t xml:space="preserve">FY2024–FY2026</t>
  </si>
  <si>
    <t xml:space="preserve">https://www.sec.gov/Archives/edgar/data/1973239/000197323926000097/arm-20260331.htm</t>
  </si>
  <si>
    <t xml:space="preserve">FY2026/FY2025 income statement, revenue mix, cash flow, balance sheet</t>
  </si>
  <si>
    <t xml:space="preserve">S2</t>
  </si>
  <si>
    <t xml:space="preserve">Arm Holdings plc Form 20-F, FY2025</t>
  </si>
  <si>
    <t xml:space="preserve">FY2023–FY2025</t>
  </si>
  <si>
    <t xml:space="preserve">https://www.sec.gov/Archives/edgar/data/1973239/000197323925000016/arm-20250331.htm</t>
  </si>
  <si>
    <t xml:space="preserve">FY2025/FY2024/FY2023 income statement; FY2025/FY2024 balance sheet and cash flow</t>
  </si>
  <si>
    <t xml:space="preserve">S3</t>
  </si>
  <si>
    <t xml:space="preserve">Arm Holdings plc Form 20-F, FY2024</t>
  </si>
  <si>
    <t xml:space="preserve">FY2022–FY2024</t>
  </si>
  <si>
    <t xml:space="preserve">https://www.sec.gov/Archives/edgar/data/1973239/000197323924000012/arm-20240331.htm</t>
  </si>
  <si>
    <t xml:space="preserve">FY2022–FY2024 income statement; FY2022–FY2024 cash flow; FY2023/FY2024 balance sheet</t>
  </si>
  <si>
    <t xml:space="preserve">S4</t>
  </si>
  <si>
    <t xml:space="preserve">Arm Holdings plc FY2024 Results / SEC filing</t>
  </si>
  <si>
    <t xml:space="preserve">FY2023–FY2024</t>
  </si>
  <si>
    <t xml:space="preserve">https://investors.arm.com/node/7151/html</t>
  </si>
  <si>
    <t xml:space="preserve">Cross-check for revenue, operating income, operating cash flow, and selected KPIs</t>
  </si>
  <si>
    <t xml:space="preserve">S5</t>
  </si>
  <si>
    <t xml:space="preserve">Arm Holdings plc Final IPO Prospectus (424B4)</t>
  </si>
  <si>
    <t xml:space="preserve">IPO pricing, Sept. 2023</t>
  </si>
  <si>
    <t xml:space="preserve">https://www.sec.gov/Archives/edgar/data/1973239/000119312523235320/d550931d424b4.htm</t>
  </si>
  <si>
    <t xml:space="preserve">IPO price, shares outstanding, offering structure, IPO-date valuation inputs</t>
  </si>
  <si>
    <t xml:space="preserve">S6</t>
  </si>
  <si>
    <t xml:space="preserve">Arm Holdings plc Final Prospectus — offering shares section</t>
  </si>
  <si>
    <t xml:space="preserve">Sept. 2023</t>
  </si>
  <si>
    <t xml:space="preserve">1,026.055mm post-offering shares and 95.5mm base ADSs offered</t>
  </si>
  <si>
    <t xml:space="preserve">S7</t>
  </si>
  <si>
    <t xml:space="preserve">Wall Street Journal market table dated Sept. 14, 2023</t>
  </si>
  <si>
    <t xml:space="preserve">9/13/2023 closes</t>
  </si>
  <si>
    <t xml:space="preserve">https://www.wsj.com/public/resources/documents/EhFzNsf5wgGAZqtIg8e7-WSJNewsPaper-9-14-2023.pdf</t>
  </si>
  <si>
    <t xml:space="preserve">Exact 9/13/2023 closing prices for all six CCA peers</t>
  </si>
  <si>
    <t xml:space="preserve">S8</t>
  </si>
  <si>
    <t xml:space="preserve">Synopsys FY2023 Q3 Form 10-Q</t>
  </si>
  <si>
    <t xml:space="preserve">7/31/2023</t>
  </si>
  <si>
    <t xml:space="preserve">https://www.sec.gov/Archives/edgar/data/883241/000088324123000016/snps-20230731.htm</t>
  </si>
  <si>
    <t xml:space="preserve">SNPS shares outstanding, cash/ST investments, debt</t>
  </si>
  <si>
    <t xml:space="preserve">S9</t>
  </si>
  <si>
    <t xml:space="preserve">Cadence FY2023 Q2 Form 10-Q</t>
  </si>
  <si>
    <t xml:space="preserve">6/30/2023</t>
  </si>
  <si>
    <t xml:space="preserve">https://www.sec.gov/Archives/edgar/data/813672/000081367223000041/cdns-20230630.htm</t>
  </si>
  <si>
    <t xml:space="preserve">CDNS shares outstanding, cash, debt</t>
  </si>
  <si>
    <t xml:space="preserve">S10</t>
  </si>
  <si>
    <t xml:space="preserve">NVIDIA FY2024 Q2 Form 10-Q</t>
  </si>
  <si>
    <t xml:space="preserve">7/30/2023</t>
  </si>
  <si>
    <t xml:space="preserve">https://www.sec.gov/Archives/edgar/data/1045810/000104581023000175/nvda-20230730.htm</t>
  </si>
  <si>
    <t xml:space="preserve">NVDA shares outstanding, cash/marketable securities, debt</t>
  </si>
  <si>
    <t xml:space="preserve">S11</t>
  </si>
  <si>
    <t xml:space="preserve">AMD FY2023 Q2 Form 10-Q</t>
  </si>
  <si>
    <t xml:space="preserve">7/1/2023</t>
  </si>
  <si>
    <t xml:space="preserve">https://www.sec.gov/Archives/edgar/data/2488/000000248823000139/amd-20230701.htm</t>
  </si>
  <si>
    <t xml:space="preserve">AMD shares outstanding, cash/ST investments, debt</t>
  </si>
  <si>
    <t xml:space="preserve">S12</t>
  </si>
  <si>
    <t xml:space="preserve">Qualcomm FY2023 Q3 Form 10-Q</t>
  </si>
  <si>
    <t xml:space="preserve">6/25/2023</t>
  </si>
  <si>
    <t xml:space="preserve">https://www.sec.gov/Archives/edgar/data/804328/000080432823000043/qcom-20230625.htm</t>
  </si>
  <si>
    <t xml:space="preserve">QCOM shares outstanding, cash/marketable securities, debt</t>
  </si>
  <si>
    <t xml:space="preserve">S13</t>
  </si>
  <si>
    <t xml:space="preserve">Broadcom FY2023 Q3 Form 10-Q</t>
  </si>
  <si>
    <t xml:space="preserve">https://www.sec.gov/Archives/edgar/data/1730168/000173016823000077/avgo-20230730.htm</t>
  </si>
  <si>
    <t xml:space="preserve">AVGO shares outstanding, cash, debt</t>
  </si>
  <si>
    <t xml:space="preserve">S14</t>
  </si>
  <si>
    <t xml:space="preserve">Arm FY2026 Form 20-F</t>
  </si>
  <si>
    <t xml:space="preserve">FY2026 / ownership</t>
  </si>
  <si>
    <t xml:space="preserve">FY2026 results; SoftBank beneficial ownership ~86.4% as of May 21, 2026</t>
  </si>
  <si>
    <t xml:space="preserve">S15</t>
  </si>
  <si>
    <t xml:space="preserve">Arm FY2026 Q4 results</t>
  </si>
  <si>
    <t xml:space="preserve">FY2026</t>
  </si>
  <si>
    <t xml:space="preserve">https://www.sec.gov/Archives/edgar/data/1973239/000197323926000062/exhibit992fye26q431-marx26.htm</t>
  </si>
  <si>
    <t xml:space="preserve">FY2026 quarterly results, FCF, operating metrics</t>
  </si>
  <si>
    <t xml:space="preserve">S16</t>
  </si>
  <si>
    <t xml:space="preserve">Reuters — Arm first-day trading</t>
  </si>
  <si>
    <t xml:space="preserve">Sep. 14, 2023</t>
  </si>
  <si>
    <t xml:space="preserve">https://ca.news.yahoo.com/softbanks-arm-set-debut-nasdaq-113540958.html</t>
  </si>
  <si>
    <t xml:space="preserve">First-day open $56.10, close $63.59, +24.68%</t>
  </si>
  <si>
    <t xml:space="preserve">S17</t>
  </si>
  <si>
    <t xml:space="preserve">Reuters — IPO lock-up expiry</t>
  </si>
  <si>
    <t xml:space="preserve">Mar. 12, 2024</t>
  </si>
  <si>
    <t xml:space="preserve">https://www.reuters.com/technology/arms-shares-rise-wall-street-eyes-ipo-lock-up-expiration-2024-03-12/</t>
  </si>
  <si>
    <t xml:space="preserve">Close $129.50; 9.5% public float; SoftBank ~90% ownership at the time</t>
  </si>
  <si>
    <t xml:space="preserve">S18</t>
  </si>
  <si>
    <t xml:space="preserve">Reuters — recent IPO performance review</t>
  </si>
  <si>
    <t xml:space="preserve">Jan. 24, 2025</t>
  </si>
  <si>
    <t xml:space="preserve">https://www.reuters.com/markets/us/ipo-market-comeback-how-recent-major-us-listings-fared-2025-01-24/</t>
  </si>
  <si>
    <t xml:space="preserve">Arm shares more than doubled since IPO; offering raised $4.87B</t>
  </si>
  <si>
    <t xml:space="preserve">S19</t>
  </si>
  <si>
    <t xml:space="preserve">ChartExchange ARM market reference</t>
  </si>
  <si>
    <t xml:space="preserve">Jul. 27, 2026</t>
  </si>
  <si>
    <t xml:space="preserve">https://chartexchange.com/symbol/nasdaq-arm/optionchain/?date=20260731</t>
  </si>
  <si>
    <t xml:space="preserve">Recent reference close of $266.43 before Q1 FY2027 results</t>
  </si>
  <si>
    <t xml:space="preserve">S20</t>
  </si>
  <si>
    <t xml:space="preserve">Reuters — Q1 FY2027 results</t>
  </si>
  <si>
    <t xml:space="preserve">Jul. 29, 2026</t>
  </si>
  <si>
    <t xml:space="preserve">https://www.reuters.com/business/retail-consumer/arm-forecasts-quarterly-revenue-above-estimates-ai-driven-chip-demand-2026-07-29/</t>
  </si>
  <si>
    <t xml:space="preserve">Q1 revenue $1.29B; royalty $715M; license $574M; Q2 guidance $1.38B; shares down ~7% after hours</t>
  </si>
  <si>
    <t xml:space="preserve">S21</t>
  </si>
  <si>
    <t xml:space="preserve">Arm Investor Relations profile</t>
  </si>
  <si>
    <t xml:space="preserve">2026</t>
  </si>
  <si>
    <t xml:space="preserve">https://investors.arm.com/</t>
  </si>
  <si>
    <t xml:space="preserve">350B+ Arm-based chips shipped; 99% smartphone penetration; company positioning</t>
  </si>
  <si>
    <t xml:space="preserve">Arm Holdings plc — IPO-Date Financial Snapshot</t>
  </si>
  <si>
    <t xml:space="preserve">Valuation date: September 13, 2023 | $ in millions except per-share data</t>
  </si>
  <si>
    <t xml:space="preserve">IPO Transaction</t>
  </si>
  <si>
    <t xml:space="preserve">Metric</t>
  </si>
  <si>
    <t xml:space="preserve">Value</t>
  </si>
  <si>
    <t xml:space="preserve">Source / Note</t>
  </si>
  <si>
    <t xml:space="preserve">IPO Price per ADS</t>
  </si>
  <si>
    <t xml:space="preserve">Arm final prospectus</t>
  </si>
  <si>
    <t xml:space="preserve">Ordinary Shares Outstanding Post-Offering (mm)</t>
  </si>
  <si>
    <t xml:space="preserve">Base ADSs Offered (mm)</t>
  </si>
  <si>
    <t xml:space="preserve">ADSs Sold incl. Greenshoe (mm)</t>
  </si>
  <si>
    <t xml:space="preserve">Arm final prospectus / full exercise</t>
  </si>
  <si>
    <t xml:space="preserve">Implied Basic Equity Value</t>
  </si>
  <si>
    <t xml:space="preserve">Cash &amp; Cash Equivalents — FY2023A</t>
  </si>
  <si>
    <t xml:space="preserve">FY2023 audited financials</t>
  </si>
  <si>
    <t xml:space="preserve">Short-Term Investments — FY2023A</t>
  </si>
  <si>
    <t xml:space="preserve">Financial Debt Used in EV</t>
  </si>
  <si>
    <t xml:space="preserve">No material funded debt identified; operating leases excluded</t>
  </si>
  <si>
    <t xml:space="preserve">Valuation Metric</t>
  </si>
  <si>
    <t xml:space="preserve">Source / Formula</t>
  </si>
  <si>
    <t xml:space="preserve">FY2023A Revenue</t>
  </si>
  <si>
    <t xml:space="preserve">Audited FY2023</t>
  </si>
  <si>
    <t xml:space="preserve">FY2023A Operating Income</t>
  </si>
  <si>
    <t xml:space="preserve">FY2023A Net Income</t>
  </si>
  <si>
    <t xml:space="preserve">Cash + short-term investments - debt</t>
  </si>
  <si>
    <t xml:space="preserve">Implied Enterprise Value</t>
  </si>
  <si>
    <t xml:space="preserve">Equity value - net cash</t>
  </si>
  <si>
    <t xml:space="preserve">IPO EV / Revenue</t>
  </si>
  <si>
    <t xml:space="preserve">IPO P / E</t>
  </si>
  <si>
    <t xml:space="preserve">Why this snapshot matters: the IPO valuation must use information available at the time of pricing. FY2024–FY2026 results are useful for retrospective analysis later, but they should not be used to judge whether the September 2023 IPO price was fair.</t>
  </si>
  <si>
    <t xml:space="preserve">Arm Holdings plc — Comparable Company Analysis (Step 3)</t>
  </si>
  <si>
    <t xml:space="preserve">Valuation date: September 13, 2023 | Market data to be measured as close to IPO pricing as practical</t>
  </si>
  <si>
    <t xml:space="preserve">Peer Universe</t>
  </si>
  <si>
    <t xml:space="preserve">Company</t>
  </si>
  <si>
    <t xml:space="preserve">Ticker</t>
  </si>
  <si>
    <t xml:space="preserve">Peer Type</t>
  </si>
  <si>
    <t xml:space="preserve">Why Included</t>
  </si>
  <si>
    <t xml:space="preserve">Synopsys</t>
  </si>
  <si>
    <t xml:space="preserve">SNPS</t>
  </si>
  <si>
    <t xml:space="preserve">Core / IP &amp; EDA</t>
  </si>
  <si>
    <t xml:space="preserve">High-margin semiconductor IP/design software economics; recurring, asset-light model</t>
  </si>
  <si>
    <t xml:space="preserve">Cadence Design Systems</t>
  </si>
  <si>
    <t xml:space="preserve">CDNS</t>
  </si>
  <si>
    <t xml:space="preserve">High-margin EDA and semiconductor IP; closest public business-model analogue</t>
  </si>
  <si>
    <t xml:space="preserve">NVIDIA</t>
  </si>
  <si>
    <t xml:space="preserve">NVDA</t>
  </si>
  <si>
    <t xml:space="preserve">Growth semiconductor</t>
  </si>
  <si>
    <t xml:space="preserve">Premium design-led semiconductor business; relevant AI/data-center growth benchmark</t>
  </si>
  <si>
    <t xml:space="preserve">AMD</t>
  </si>
  <si>
    <t xml:space="preserve">Semiconductor design</t>
  </si>
  <si>
    <t xml:space="preserve">Fabless CPU/GPU designer; direct architecture competition in compute</t>
  </si>
  <si>
    <t xml:space="preserve">Qualcomm</t>
  </si>
  <si>
    <t xml:space="preserve">QCOM</t>
  </si>
  <si>
    <t xml:space="preserve">Semiconductor + licensing</t>
  </si>
  <si>
    <t xml:space="preserve">Fabless chips plus valuable IP/licensing economics; useful royalty-model comparison</t>
  </si>
  <si>
    <t xml:space="preserve">Broadcom</t>
  </si>
  <si>
    <t xml:space="preserve">AVGO</t>
  </si>
  <si>
    <t xml:space="preserve">Diversified semiconductor</t>
  </si>
  <si>
    <t xml:space="preserve">High-margin semiconductor/design exposure and strong cash generation</t>
  </si>
  <si>
    <t xml:space="preserve">Trading Comparables — Framework</t>
  </si>
  <si>
    <t xml:space="preserve">Share Price</t>
  </si>
  <si>
    <t xml:space="preserve">Diluted Shares (mm)</t>
  </si>
  <si>
    <t xml:space="preserve">Equity Value ($mm)</t>
  </si>
  <si>
    <t xml:space="preserve">Debt ($mm)</t>
  </si>
  <si>
    <t xml:space="preserve">Cash &amp; ST Investments ($mm)</t>
  </si>
  <si>
    <t xml:space="preserve">Enterprise Value ($mm)</t>
  </si>
  <si>
    <t xml:space="preserve">LTM Revenue ($mm)</t>
  </si>
  <si>
    <t xml:space="preserve">LTM EBITDA ($mm)</t>
  </si>
  <si>
    <t xml:space="preserve">LTM Net Income ($mm)</t>
  </si>
  <si>
    <t xml:space="preserve">EV / Revenue</t>
  </si>
  <si>
    <t xml:space="preserve">EV / EBITDA</t>
  </si>
  <si>
    <t xml:space="preserve">P / E</t>
  </si>
  <si>
    <t xml:space="preserve">Market Price Source</t>
  </si>
  <si>
    <t xml:space="preserve">Shares / Balance Sheet Source</t>
  </si>
  <si>
    <t xml:space="preserve">LTM Financial Source</t>
  </si>
  <si>
    <t xml:space="preserve">Valid P/E Helper</t>
  </si>
  <si>
    <t xml:space="preserve">https://www.macrotrends.net/stocks/charts/SNPS/synopsys/ebitda-margin</t>
  </si>
  <si>
    <t xml:space="preserve">https://www.macrotrends.net/stocks/charts/CDNS/cadence-design-systems/ebitda-margin</t>
  </si>
  <si>
    <t xml:space="preserve">https://www.macrotrends.net/stocks/charts/NVDA/nvidia/ebitda-margin</t>
  </si>
  <si>
    <t xml:space="preserve">https://www.macrotrends.net/stocks/charts/AMD/amd/ebitda-margin</t>
  </si>
  <si>
    <t xml:space="preserve">https://www.macrotrends.net/stocks/charts/QCOM/qualcomm/ebitda-margin</t>
  </si>
  <si>
    <t xml:space="preserve">https://www.macrotrends.net/stocks/charts/AVGO/broadcom/ebitda-margin</t>
  </si>
  <si>
    <t xml:space="preserve">Statistic</t>
  </si>
  <si>
    <t xml:space="preserve">Median</t>
  </si>
  <si>
    <t xml:space="preserve">25th Percentile</t>
  </si>
  <si>
    <t xml:space="preserve">75th Percentile</t>
  </si>
  <si>
    <t xml:space="preserve">Peer-multiple statistics will populate after the six peer rows are researched and entered.</t>
  </si>
  <si>
    <t xml:space="preserve">Arm IPO Reference Valuation</t>
  </si>
  <si>
    <t xml:space="preserve">Arm IPO</t>
  </si>
  <si>
    <t xml:space="preserve">Link</t>
  </si>
  <si>
    <t xml:space="preserve">Use only financial information that was publicly available by September 13, 2023. Market prices should be from the IPO pricing date (or nearest trading date). For each peer, use the latest reported balance sheet and LTM financials available at that date. Later results must not leak into the IPO-date valuation.</t>
  </si>
  <si>
    <t xml:space="preserve">IPO Snapshot</t>
  </si>
  <si>
    <t xml:space="preserve">Initial CCA Read-Through</t>
  </si>
  <si>
    <t xml:space="preserve">Peer Median</t>
  </si>
  <si>
    <t xml:space="preserve">Arm Premium / (Discount)</t>
  </si>
  <si>
    <t xml:space="preserve">N/A</t>
  </si>
  <si>
    <t xml:space="preserve">Core IP/EDA EV / Revenue Median</t>
  </si>
  <si>
    <t xml:space="preserve">Comment</t>
  </si>
  <si>
    <t xml:space="preserve">Arm priced above the full peer median on EV/Revenue, but below the very high-growth NVIDIA multiple.</t>
  </si>
  <si>
    <t xml:space="preserve">Arm Holdings plc — IPO Implied Valuation Range</t>
  </si>
  <si>
    <t xml:space="preserve">Valuation Inputs</t>
  </si>
  <si>
    <t xml:space="preserve">Method</t>
  </si>
  <si>
    <t xml:space="preserve">Implied Share Price</t>
  </si>
  <si>
    <t xml:space="preserve">FY2023 Revenue</t>
  </si>
  <si>
    <t xml:space="preserve">Core IP/EDA</t>
  </si>
  <si>
    <t xml:space="preserve">Net Cash + ST Investments</t>
  </si>
  <si>
    <t xml:space="preserve">Post-Offering Shares (mm)</t>
  </si>
  <si>
    <t xml:space="preserve">IPO Price</t>
  </si>
  <si>
    <t xml:space="preserve">IPO Enterprise Value</t>
  </si>
  <si>
    <t xml:space="preserve">Comparable Company Implied Valuation</t>
  </si>
  <si>
    <t xml:space="preserve">Implied EV</t>
  </si>
  <si>
    <t xml:space="preserve">Implied Equity Value</t>
  </si>
  <si>
    <t xml:space="preserve">Discount to IPO</t>
  </si>
  <si>
    <t xml:space="preserve">Interpretation</t>
  </si>
  <si>
    <t xml:space="preserve">Full Peer Median</t>
  </si>
  <si>
    <t xml:space="preserve">Broad cross-sector anchor; includes mature and premium semiconductor names.</t>
  </si>
  <si>
    <t xml:space="preserve">CCA</t>
  </si>
  <si>
    <t xml:space="preserve">Core IP / EDA Average</t>
  </si>
  <si>
    <t xml:space="preserve">Closest business-model analogues: Synopsys and Cadence.</t>
  </si>
  <si>
    <t xml:space="preserve">Peer 75th Percentile</t>
  </si>
  <si>
    <t xml:space="preserve">Premium case reflecting Arm's royalty model, ecosystem scale, and growth option value.</t>
  </si>
  <si>
    <t xml:space="preserve">Actual IPO</t>
  </si>
  <si>
    <t xml:space="preserve">SoftBank priced at the top of the marketed range.</t>
  </si>
  <si>
    <t xml:space="preserve">Valuation Conclusion</t>
  </si>
  <si>
    <t xml:space="preserve">At $51 per ADS, Arm priced above every central comp-based reference point in this analysis. The full-peer median implies roughly $35 per share, the core IP/EDA reference implies roughly $43, and the peer 75th percentile implies roughly $45. The IPO therefore required an approximately 13–15% premium to the closest high-quality public business-model references. That premium was aggressive, but not irrational: Arm had unusually high gross margins, a recurring royalty stream, dominant mobile architecture share, and credible growth optionality in cloud, automotive, Armv9, and AI. The appropriate conclusion is 'premium-priced' rather than simply 'overvalued.'</t>
  </si>
  <si>
    <t xml:space="preserve">Arm Holdings — Discounted Cash Flow Valuation</t>
  </si>
  <si>
    <t xml:space="preserve">Forward-looking cross-check: is Arm fairly valued TODAY, independent of the IPO or the historical re-rating</t>
  </si>
  <si>
    <t xml:space="preserve">1. Cost of Capital (WACC)</t>
  </si>
  <si>
    <t xml:space="preserve">Input</t>
  </si>
  <si>
    <t xml:space="preserve">Risk-Free Rate (10Y UST)</t>
  </si>
  <si>
    <t xml:space="preserve">10-year Treasury yield, end of July 2026 (CNBC/Damodaran)</t>
  </si>
  <si>
    <t xml:space="preserve">Equity Risk Premium</t>
  </si>
  <si>
    <t xml:space="preserve">Implied ERP, start of August 2026 (Damodaran, NYU Stern)</t>
  </si>
  <si>
    <t xml:space="preserve">Assumed Beta (peer-based estimate)</t>
  </si>
  <si>
    <t xml:space="preserve">Estimate, not Arm's own observed beta — see limitation note below</t>
  </si>
  <si>
    <t xml:space="preserve">Cost of Equity (CAPM)</t>
  </si>
  <si>
    <t xml:space="preserve">Rf + Beta × ERP</t>
  </si>
  <si>
    <t xml:space="preserve">Cost of Debt / Weight of Debt</t>
  </si>
  <si>
    <t xml:space="preserve">n/a</t>
  </si>
  <si>
    <t xml:space="preserve">No material funded debt (consistent with IPO Snapshot and Post-IPO Performance tabs)</t>
  </si>
  <si>
    <t xml:space="preserve">WACC</t>
  </si>
  <si>
    <t xml:space="preserve">Cost of Equity, since debt is immaterial to Arm's capital structure</t>
  </si>
  <si>
    <t xml:space="preserve">2. Explicit Forecast: Revenue &amp;amp; Unlevered FCF (FY2027E–FY2031E)</t>
  </si>
  <si>
    <t xml:space="preserve">FY2027E</t>
  </si>
  <si>
    <t xml:space="preserve">FY2028E</t>
  </si>
  <si>
    <t xml:space="preserve">FY2029E</t>
  </si>
  <si>
    <t xml:space="preserve">FY2030E</t>
  </si>
  <si>
    <t xml:space="preserve">FY2031E</t>
  </si>
  <si>
    <t xml:space="preserve">License &amp;amp; Other Revenue</t>
  </si>
  <si>
    <t xml:space="preserve">Non-GAAP Operating Margin (assumed)</t>
  </si>
  <si>
    <t xml:space="preserve">Improves as R&amp;D/SBC normalize post-IPO; FY26A actual was 43.0%</t>
  </si>
  <si>
    <t xml:space="preserve">Unlevered Operating Income</t>
  </si>
  <si>
    <t xml:space="preserve">Less: Cash Taxes (assumed rate)</t>
  </si>
  <si>
    <t xml:space="preserve">Simplified assumption — blended effective rate, not a full jurisdictional build</t>
  </si>
  <si>
    <t xml:space="preserve">NOPAT</t>
  </si>
  <si>
    <t xml:space="preserve">Plus: D&amp;amp;A (% of revenue, assumed)</t>
  </si>
  <si>
    <t xml:space="preserve">Assumed 2.0% of revenue — asset-light model</t>
  </si>
  <si>
    <t xml:space="preserve">Less: CapEx (% of revenue, assumed)</t>
  </si>
  <si>
    <t xml:space="preserve">Assumed 2.5% of revenue</t>
  </si>
  <si>
    <t xml:space="preserve">Less: Increase in NWC (% of revenue, assumed)</t>
  </si>
  <si>
    <t xml:space="preserve">Assumed 1.0% of revenue</t>
  </si>
  <si>
    <t xml:space="preserve">Unlevered Free Cash Flow</t>
  </si>
  <si>
    <t xml:space="preserve">3. Discounting &amp;amp; Terminal Value</t>
  </si>
  <si>
    <t xml:space="preserve">Discount Period</t>
  </si>
  <si>
    <t xml:space="preserve">Discount Factor</t>
  </si>
  <si>
    <t xml:space="preserve">Unlevered FCF</t>
  </si>
  <si>
    <t xml:space="preserve">PV of FCF</t>
  </si>
  <si>
    <t xml:space="preserve">Terminal Growth Rate</t>
  </si>
  <si>
    <t xml:space="preserve">Roughly nominal long-run GDP growth — deliberately conservative given AI/data-center uncertainty</t>
  </si>
  <si>
    <t xml:space="preserve">Terminal Value (Perpetuity Growth, undiscounted)</t>
  </si>
  <si>
    <t xml:space="preserve">FY2031E FCF x (1+g) / (WACC - g)</t>
  </si>
  <si>
    <t xml:space="preserve">PV of Terminal Value</t>
  </si>
  <si>
    <t xml:space="preserve">Cross-Check: Exit-Multiple Implied TV (EV/Revenue)</t>
  </si>
  <si>
    <t xml:space="preserve">Assumed exit multiple (moderated from today's 58x) × FY2031E revenue — sanity check on perpetuity-growth TV</t>
  </si>
  <si>
    <t xml:space="preserve">4. Implied Valuation</t>
  </si>
  <si>
    <t xml:space="preserve">Sum of PV of Explicit FCFs</t>
  </si>
  <si>
    <t xml:space="preserve">Plus: Net Cash + ST Investments (current)</t>
  </si>
  <si>
    <t xml:space="preserve">Diluted Shares Outstanding (current, mm)</t>
  </si>
  <si>
    <t xml:space="preserve">Implied Share Price (DCF)</t>
  </si>
  <si>
    <t xml:space="preserve">Current Market Price (Aug 10, 2026)</t>
  </si>
  <si>
    <t xml:space="preserve">DCF Implied Value vs. Current Price</t>
  </si>
  <si>
    <t xml:space="preserve">5. Sensitivity: Implied Share Price by WACC &amp; Terminal Growth</t>
  </si>
  <si>
    <t xml:space="preserve">WACC (rows) / Terminal Growth (cols)</t>
  </si>
  <si>
    <t xml:space="preserve">Base case (WACC 8.44%, g 3.5%) is highlighted. Current WACC input (Section 1) is 8.44%.</t>
  </si>
  <si>
    <t xml:space="preserve">6. Limitations — Read Before Using This Section</t>
  </si>
  <si>
    <t xml:space="preserve">• Beta is an assumed peer-based estimate (1.20), not Arm's own regression beta. Arm's public float is only ~9-14% of shares outstanding (SoftBank owns the rest), so Arm's observed stock volatility reflects a thin, potentially distorted trading base rather than the full company's true systematic risk. A directly-measured Arm beta would likely be unreliable for this reason.</t>
  </si>
  <si>
    <t xml:space="preserve">• The 5-year explicit revenue growth path (license decelerating 25%→10%, royalty 20%→12%) is this model's own assumption, not a disclosed Arm forecast — treat it as one reasonable growth path, not a consensus figure.</t>
  </si>
  <si>
    <t xml:space="preserve">• Operating margin, D&amp;A, capex, and NWC are simplified as percentages of revenue rather than fully built schedules; adequate for a directional cross-check, not a substitute for the detailed forecast an equity research desk would build.</t>
  </si>
  <si>
    <t xml:space="preserve">• Terminal value construction is the single largest driver of the implied price at this multiple range — the sensitivity table above should be read as a range of plausible outcomes, not a point estimate. Small changes in WACC or terminal growth move the implied price substantially, exactly as they would in any real DCF for a high-growth company.</t>
  </si>
  <si>
    <t xml:space="preserve">Arm Holdings — Post-IPO Operating &amp; Market Performance</t>
  </si>
  <si>
    <t xml:space="preserve">Retrospective analysis using information reported after the September 2023 IPO</t>
  </si>
  <si>
    <t xml:space="preserve">Operating Performance Since IPO</t>
  </si>
  <si>
    <t xml:space="preserve">FY23–FY26 CAGR</t>
  </si>
  <si>
    <t xml:space="preserve">Revenue</t>
  </si>
  <si>
    <t xml:space="preserve">Market Milestones</t>
  </si>
  <si>
    <t xml:space="preserve">Date</t>
  </si>
  <si>
    <t xml:space="preserve">Milestone</t>
  </si>
  <si>
    <t xml:space="preserve">Price / Metric</t>
  </si>
  <si>
    <t xml:space="preserve">Return vs $51 IPO</t>
  </si>
  <si>
    <t xml:space="preserve">First-day close</t>
  </si>
  <si>
    <t xml:space="preserve">Strong initial demand; nearly 25% first-day gain.</t>
  </si>
  <si>
    <t xml:space="preserve">Reuters</t>
  </si>
  <si>
    <t xml:space="preserve">IPO lock-up expiry</t>
  </si>
  <si>
    <t xml:space="preserve">Stock more than doubled; only 9.5% public float before lock-up expiry.</t>
  </si>
  <si>
    <t xml:space="preserve">Reuters IPO review</t>
  </si>
  <si>
    <t xml:space="preserve">Reuters reported Arm shares had more than doubled since IPO.</t>
  </si>
  <si>
    <t xml:space="preserve">Recent pre-Q1 FY27 close</t>
  </si>
  <si>
    <t xml:space="preserve">Reference point before Q1 FY27 results.</t>
  </si>
  <si>
    <t xml:space="preserve">ChartExchange</t>
  </si>
  <si>
    <t xml:space="preserve">Q1 FY27 results</t>
  </si>
  <si>
    <t xml:space="preserve">Revenue beat expectations; shares fell ~7% after hours amid smartphone royalty caution.</t>
  </si>
  <si>
    <t xml:space="preserve">Q1 FY2027 Check-In</t>
  </si>
  <si>
    <t xml:space="preserve">Q1 FY2027</t>
  </si>
  <si>
    <t xml:space="preserve">YoY</t>
  </si>
  <si>
    <t xml:space="preserve">Read-Through</t>
  </si>
  <si>
    <t xml:space="preserve">Above Street expectations; AI/data-center demand remained strong.</t>
  </si>
  <si>
    <t xml:space="preserve">Growth supported by more complex chips and data-center adoption.</t>
  </si>
  <si>
    <t xml:space="preserve">License Revenue</t>
  </si>
  <si>
    <t xml:space="preserve">Continued healthy licensing demand.</t>
  </si>
  <si>
    <t xml:space="preserve">Q2 Revenue Guidance</t>
  </si>
  <si>
    <t xml:space="preserve">Above analyst consensus cited by Reuters.</t>
  </si>
  <si>
    <t xml:space="preserve">Retrospective Verdict</t>
  </si>
  <si>
    <t xml:space="preserve">Arm's total return from IPO to August 2026 was 5.34x — but that return decomposes cleanly into two distinct sources. EPS grew 1.67x (from $0.51 to $0.85 GAAP diluted), reflecting genuine, substantial operating improvement. Separately, the P/E multiple expanded 3.20x (from 100x to 320x), and EV/Revenue expanded a consistent 3.11x (18.7x to 58.1x) — two independent multiples pointing to the same conclusion. These two factors multiply exactly to the total return (1.67 x 3.20 = 5.34), meaning multiple re-rating contributed roughly twice as much to Arm's stock performance as earnings growth did. The business did not simply grow into its IPO valuation — the market re-rated it to a materially richer valuation than investors were willing to pay in September 2023, even after accounting for that growth. This reframes the original 11-15% IPO premium: in hindsight it was conservative relative to where the market would ultimately price Arm, but it also means today's shares carry meaningfully more re-rating risk than the IPO price did, since a large share of the current valuation now depends on the AI/data-center narrative continuing to be believed at an even higher multiple than IPO investors paid.</t>
  </si>
  <si>
    <t xml:space="preserve">Valuation Evolution: IPO vs. Current</t>
  </si>
  <si>
    <t xml:space="preserve">Current price as of August 10, 2026; current balance sheet as of FY2026 year-end (March 31, 2026)</t>
  </si>
  <si>
    <t xml:space="preserve">IPO (Sep 2023)</t>
  </si>
  <si>
    <t xml:space="preserve">Current (Aug 2026)</t>
  </si>
  <si>
    <t xml:space="preserve">Change</t>
  </si>
  <si>
    <t xml:space="preserve">Diluted Shares Outstanding (mm)</t>
  </si>
  <si>
    <t xml:space="preserve">Market Cap / Equity Value</t>
  </si>
  <si>
    <t xml:space="preserve">Enterprise Value</t>
  </si>
  <si>
    <t xml:space="preserve">Revenue (FY23A / FY26A)</t>
  </si>
  <si>
    <t xml:space="preserve">Diluted EPS, GAAP (FY23A / FY26A)</t>
  </si>
  <si>
    <t xml:space="preserve">Return Decomposition (P/E basis)</t>
  </si>
  <si>
    <t xml:space="preserve">Total Price Return</t>
  </si>
  <si>
    <t xml:space="preserve">   From EPS Growth</t>
  </si>
  <si>
    <t xml:space="preserve">   From P/E Expansion</t>
  </si>
  <si>
    <t xml:space="preserve">   Check (EPS growth × P/E expansion)</t>
  </si>
  <si>
    <t xml:space="preserve">Interpretation: Arm's total return since IPO decomposes cleanly into EPS growth and P/E expansion. The P/E expansion factor is larger than the EPS growth factor, meaning the market's willingness to pay more per dollar of earnings contributed more to the stock's return than the underlying earnings growth itself. Both are real and substantial — this is not a case of pure hype without fundamentals — but the re-rating component means today's price embeds more optimism about future growth than the IPO price did.</t>
  </si>
  <si>
    <t xml:space="preserve">Arm Holdings — Strategic Drivers &amp; Risk Framework</t>
  </si>
  <si>
    <t xml:space="preserve">How the operating thesis connects to the valuation premium</t>
  </si>
  <si>
    <t xml:space="preserve">Strategic Growth Drivers</t>
  </si>
  <si>
    <t xml:space="preserve">Driver</t>
  </si>
  <si>
    <t xml:space="preserve">Evidence</t>
  </si>
  <si>
    <t xml:space="preserve">Valuation Impact</t>
  </si>
  <si>
    <t xml:space="preserve">Status by FY2026 / Q1 FY2027</t>
  </si>
  <si>
    <t xml:space="preserve">Assessment</t>
  </si>
  <si>
    <t xml:space="preserve">Armv9 adoption</t>
  </si>
  <si>
    <t xml:space="preserve">Higher-value architecture supports royalty uplift per chip.</t>
  </si>
  <si>
    <t xml:space="preserve">Supports premium royalty growth.</t>
  </si>
  <si>
    <t xml:space="preserve">Royalty revenue reached $2.61B in FY2026.</t>
  </si>
  <si>
    <t xml:space="preserve">Validated</t>
  </si>
  <si>
    <t xml:space="preserve">Data center / cloud</t>
  </si>
  <si>
    <t xml:space="preserve">Energy efficiency increasingly valuable for AI workloads.</t>
  </si>
  <si>
    <t xml:space="preserve">Expands TAM beyond mobile.</t>
  </si>
  <si>
    <t xml:space="preserve">Q1 FY2027 data-center demand remained strong.</t>
  </si>
  <si>
    <t xml:space="preserve">Validated / ongoing</t>
  </si>
  <si>
    <t xml:space="preserve">License growth</t>
  </si>
  <si>
    <t xml:space="preserve">Large high-value agreements expand future royalty base.</t>
  </si>
  <si>
    <t xml:space="preserve">Creates backlog and future royalty optionality.</t>
  </si>
  <si>
    <t xml:space="preserve">License revenue reached $2.31B in FY2026.</t>
  </si>
  <si>
    <t xml:space="preserve">Automotive / edge</t>
  </si>
  <si>
    <t xml:space="preserve">Broader architecture penetration outside smartphones.</t>
  </si>
  <si>
    <t xml:space="preserve">Diversifies end-market exposure.</t>
  </si>
  <si>
    <t xml:space="preserve">Strategic growth remains ongoing.</t>
  </si>
  <si>
    <t xml:space="preserve">Ongoing</t>
  </si>
  <si>
    <t xml:space="preserve">AI infrastructure</t>
  </si>
  <si>
    <t xml:space="preserve">Arm CPUs increasingly complement accelerators in inference and cloud.</t>
  </si>
  <si>
    <t xml:space="preserve">Supports premium multiple and new products.</t>
  </si>
  <si>
    <t xml:space="preserve">New AGI CPU demand reportedly exceeded initial expectations.</t>
  </si>
  <si>
    <t xml:space="preserve">Emerging</t>
  </si>
  <si>
    <t xml:space="preserve">Ecosystem scale</t>
  </si>
  <si>
    <t xml:space="preserve">Massive installed base and software ecosystem create switching friction.</t>
  </si>
  <si>
    <t xml:space="preserve">Supports durable pricing power.</t>
  </si>
  <si>
    <t xml:space="preserve">350B+ Arm-based chips shipped to date.</t>
  </si>
  <si>
    <t xml:space="preserve">Durable moat</t>
  </si>
  <si>
    <t xml:space="preserve">Key Risks</t>
  </si>
  <si>
    <t xml:space="preserve">Risk</t>
  </si>
  <si>
    <t xml:space="preserve">IPO Relevance</t>
  </si>
  <si>
    <t xml:space="preserve">Current Read-Through</t>
  </si>
  <si>
    <t xml:space="preserve">Valuation Effect</t>
  </si>
  <si>
    <t xml:space="preserve">Severity</t>
  </si>
  <si>
    <t xml:space="preserve">Smartphone concentration</t>
  </si>
  <si>
    <t xml:space="preserve">Core royalty base was tied heavily to mobile.</t>
  </si>
  <si>
    <t xml:space="preserve">Smartphone royalty growth remains a watch item in FY2027.</t>
  </si>
  <si>
    <t xml:space="preserve">Limits upside if mature mobile demand weakens.</t>
  </si>
  <si>
    <t xml:space="preserve">High</t>
  </si>
  <si>
    <t xml:space="preserve">Arm China</t>
  </si>
  <si>
    <t xml:space="preserve">Material revenue exposure with limited direct control.</t>
  </si>
  <si>
    <t xml:space="preserve">China remains strategically important and geopolitically sensitive.</t>
  </si>
  <si>
    <t xml:space="preserve">Warrants risk discount.</t>
  </si>
  <si>
    <t xml:space="preserve">RISC-V</t>
  </si>
  <si>
    <t xml:space="preserve">Open-source architecture can reduce willingness to pay for Arm IP.</t>
  </si>
  <si>
    <t xml:space="preserve">Long-run ecosystem threat remains.</t>
  </si>
  <si>
    <t xml:space="preserve">Could pressure licensing economics.</t>
  </si>
  <si>
    <t xml:space="preserve">Medium-High</t>
  </si>
  <si>
    <t xml:space="preserve">Customer bargaining power</t>
  </si>
  <si>
    <t xml:space="preserve">Largest customers are sophisticated chip designers.</t>
  </si>
  <si>
    <t xml:space="preserve">Cloud customers increasingly design custom silicon.</t>
  </si>
  <si>
    <t xml:space="preserve">Can pressure pricing despite expanding Arm use.</t>
  </si>
  <si>
    <t xml:space="preserve">Medium</t>
  </si>
  <si>
    <t xml:space="preserve">SoftBank control</t>
  </si>
  <si>
    <t xml:space="preserve">Very small public float at IPO; SoftBank retained control.</t>
  </si>
  <si>
    <t xml:space="preserve">SoftBank still owned ~86.4% as of May 2026.</t>
  </si>
  <si>
    <t xml:space="preserve">Governance / supply overhang risk.</t>
  </si>
  <si>
    <t xml:space="preserve">Valuation sensitivity</t>
  </si>
  <si>
    <t xml:space="preserve">IPO already priced at a premium.</t>
  </si>
  <si>
    <t xml:space="preserve">Shares remain highly sensitive to guidance and growth expectations.</t>
  </si>
  <si>
    <t xml:space="preserve">Multiple compression risk.</t>
  </si>
  <si>
    <t xml:space="preserve">Execution on own chips</t>
  </si>
  <si>
    <t xml:space="preserve">Arm historically licensed IP rather than selling finished CPUs.</t>
  </si>
  <si>
    <t xml:space="preserve">New data-center CPU strategy expands opportunity but changes execution risk.</t>
  </si>
  <si>
    <t xml:space="preserve">Could increase upside and capital intensity.</t>
  </si>
  <si>
    <t xml:space="preserve">Final Strategy View</t>
  </si>
  <si>
    <t xml:space="preserve">Arm's premium is best understood as a platform-quality premium rather than a conventional semiconductor multiple. The company combines near-100% gross margins, recurring royalties, an asset-light licensing model, and a dominant architecture ecosystem. The strongest evidence since IPO is the simultaneous expansion of both royalty and license revenue. The most important debate is no longer whether Arm can grow beyond smartphones, but how much of future AI/data-center success is already embedded in the valuation. The principal counterweights are SoftBank control, China exposure, RISC-V, and the risk that market expectations move faster than operating results.</t>
  </si>
  <si>
    <t xml:space="preserve">Arm Holdings IPO Valuation &amp; Strategy Analysis — Executive Summary</t>
  </si>
  <si>
    <t xml:space="preserve">Thesis Question</t>
  </si>
  <si>
    <t xml:space="preserve">Was Arm Holdings fairly valued at its September 2023 IPO, and did subsequent growth in royalties, licensing, Armv9, data centers, and AI justify the premium valuation?</t>
  </si>
  <si>
    <t xml:space="preserve">Key Findings</t>
  </si>
  <si>
    <t xml:space="preserve">1.</t>
  </si>
  <si>
    <t xml:space="preserve">Arm priced at roughly 18.7x FY2023 revenue, about 49% above the six-peer median of 12.6x.</t>
  </si>
  <si>
    <t xml:space="preserve">2.</t>
  </si>
  <si>
    <t xml:space="preserve">Core IP/EDA comparables imply about $43 per share and the peer 75th percentile about $45, versus the $51 IPO price.</t>
  </si>
  <si>
    <t xml:space="preserve">3.</t>
  </si>
  <si>
    <t xml:space="preserve">The premium was aggressive but defensible: Arm had a recurring royalty stream, near-100% gross margins, dominant mobile architecture share, and credible expansion into cloud and automotive.</t>
  </si>
  <si>
    <t xml:space="preserve">4.</t>
  </si>
  <si>
    <t xml:space="preserve">Post-IPO fundamentals materially strengthened: FY2023–FY2026 revenue CAGR was about 22%, license revenue about 32%, royalty revenue about 16%, and net income about 20%.</t>
  </si>
  <si>
    <t xml:space="preserve">5.</t>
  </si>
  <si>
    <t xml:space="preserve">The stock's first-day close of $63.59 represented a 24.7% gain from the $51 offer price, showing immediate demand exceeded the allocated IPO price.</t>
  </si>
  <si>
    <t xml:space="preserve">6.</t>
  </si>
  <si>
    <t xml:space="preserve">By Q1 FY2027, revenue remained above expectations and data-center demand was strong, but smartphone royalties and valuation sensitivity remained important risks.</t>
  </si>
  <si>
    <t xml:space="preserve">7.</t>
  </si>
  <si>
    <t xml:space="preserve">SoftBank's continued control, Arm China, RISC-V, and the execution risk of moving further into finished data-center CPUs remain the major strategic counterweights.</t>
  </si>
  <si>
    <t xml:space="preserve">8.</t>
  </si>
  <si>
    <t xml:space="preserve">Overall verdict: premium-priced at IPO, but subsequent operating performance validated much of the growth premium rather than proving the IPO was simply mispriced.</t>
  </si>
  <si>
    <t xml:space="preserve">Recommendation / Deal Takeaway</t>
  </si>
  <si>
    <t xml:space="preserve">From an IPO pricing perspective, SoftBank captured a strong premium to public comparables while still leaving enough upside for a successful first-day debut. A fair comp-based valuation range was approximately $43–$45 per ADS, suggesting the $51 offer price was aggressive by roughly 11–15%. However, the subsequent acceleration in revenue and Arm's strengthening AI/data-center position show why investors were willing to pay beyond conventional semiconductor multiples. The transaction is therefore best viewed as a successful premium IPO whose long-term justification depends on continued royalty monetization and expansion beyond smartphones.</t>
  </si>
</sst>
</file>

<file path=xl/styles.xml><?xml version="1.0" encoding="utf-8"?>
<styleSheet xmlns="http://schemas.openxmlformats.org/spreadsheetml/2006/main">
  <numFmts count="15">
    <numFmt numFmtId="164" formatCode="General"/>
    <numFmt numFmtId="165" formatCode="\$#,##0;[RED]&quot;($&quot;#,##0\);\-"/>
    <numFmt numFmtId="166" formatCode="@"/>
    <numFmt numFmtId="167" formatCode="0.0%;[RED]\(0.0%\);\-"/>
    <numFmt numFmtId="168" formatCode="\$0.00;[RED]&quot;($&quot;0.00\);\-"/>
    <numFmt numFmtId="169" formatCode="#,##0;[RED]\(#,##0\);\-"/>
    <numFmt numFmtId="170" formatCode="0.00\x"/>
    <numFmt numFmtId="171" formatCode="\$0.00"/>
    <numFmt numFmtId="172" formatCode="#,##0.0"/>
    <numFmt numFmtId="173" formatCode="0.0\x"/>
    <numFmt numFmtId="174" formatCode="0.0%"/>
    <numFmt numFmtId="175" formatCode="0.00"/>
    <numFmt numFmtId="176" formatCode="\$#,##0;&quot;($&quot;#,##0\);\-"/>
    <numFmt numFmtId="177" formatCode="0.000"/>
    <numFmt numFmtId="178" formatCode="\$#,##0.00"/>
  </numFmts>
  <fonts count="29">
    <font>
      <sz val="10"/>
      <name val="Arial"/>
      <family val="2"/>
      <charset val="1"/>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1"/>
      <name val="Calibri"/>
      <family val="0"/>
      <charset val="1"/>
    </font>
    <font>
      <i val="true"/>
      <sz val="11"/>
      <color rgb="FF666666"/>
      <name val="Calibri"/>
      <family val="0"/>
      <charset val="1"/>
    </font>
    <font>
      <sz val="11"/>
      <color rgb="FF0000FF"/>
      <name val="Calibri"/>
      <family val="0"/>
      <charset val="1"/>
    </font>
    <font>
      <b val="true"/>
      <sz val="11"/>
      <color rgb="FF0000FF"/>
      <name val="Calibri"/>
      <family val="0"/>
      <charset val="1"/>
    </font>
    <font>
      <sz val="11"/>
      <color rgb="FF000000"/>
      <name val="Calibri"/>
      <family val="0"/>
      <charset val="1"/>
    </font>
    <font>
      <b val="true"/>
      <sz val="11"/>
      <color rgb="FF000000"/>
      <name val="Calibri"/>
      <family val="0"/>
      <charset val="1"/>
    </font>
    <font>
      <sz val="11"/>
      <color rgb="FF008000"/>
      <name val="Calibri"/>
      <family val="0"/>
      <charset val="1"/>
    </font>
    <font>
      <b val="true"/>
      <sz val="18"/>
      <color rgb="FF000000"/>
      <name val="Calibri"/>
      <family val="2"/>
    </font>
    <font>
      <sz val="10"/>
      <color rgb="FF000000"/>
      <name val="Calibri"/>
      <family val="2"/>
    </font>
    <font>
      <i val="true"/>
      <sz val="11"/>
      <name val="Calibri"/>
      <family val="0"/>
      <charset val="1"/>
    </font>
    <font>
      <b val="true"/>
      <sz val="14"/>
      <color rgb="FFFFFFFF"/>
      <name val="Calibri"/>
      <family val="0"/>
      <charset val="1"/>
    </font>
    <font>
      <i val="true"/>
      <sz val="9"/>
      <color rgb="FF666666"/>
      <name val="Calibri"/>
      <family val="0"/>
      <charset val="1"/>
    </font>
    <font>
      <b val="true"/>
      <sz val="10"/>
      <name val="Calibri"/>
      <family val="0"/>
      <charset val="1"/>
    </font>
    <font>
      <sz val="10"/>
      <name val="Calibri"/>
      <family val="0"/>
      <charset val="1"/>
    </font>
    <font>
      <sz val="10"/>
      <color rgb="FF0000FF"/>
      <name val="Calibri"/>
      <family val="0"/>
      <charset val="1"/>
    </font>
    <font>
      <sz val="10"/>
      <color rgb="FF000000"/>
      <name val="Calibri"/>
      <family val="0"/>
      <charset val="1"/>
    </font>
    <font>
      <sz val="10"/>
      <color rgb="FF008000"/>
      <name val="Calibri"/>
      <family val="0"/>
      <charset val="1"/>
    </font>
    <font>
      <b val="true"/>
      <sz val="10"/>
      <color rgb="FFFFFFFF"/>
      <name val="Calibri"/>
      <family val="0"/>
      <charset val="1"/>
    </font>
    <font>
      <b val="true"/>
      <sz val="9"/>
      <name val="Calibri"/>
      <family val="0"/>
      <charset val="1"/>
    </font>
    <font>
      <sz val="9"/>
      <color rgb="FF000000"/>
      <name val="Calibri"/>
      <family val="0"/>
      <charset val="1"/>
    </font>
    <font>
      <b val="true"/>
      <sz val="9"/>
      <color rgb="FF1F4E78"/>
      <name val="Calibri"/>
      <family val="0"/>
      <charset val="1"/>
    </font>
    <font>
      <sz val="9"/>
      <name val="Calibri"/>
      <family val="0"/>
      <charset val="1"/>
    </font>
  </fonts>
  <fills count="8">
    <fill>
      <patternFill patternType="none"/>
    </fill>
    <fill>
      <patternFill patternType="gray125"/>
    </fill>
    <fill>
      <patternFill patternType="solid">
        <fgColor rgb="FF17365D"/>
        <bgColor rgb="FF333333"/>
      </patternFill>
    </fill>
    <fill>
      <patternFill patternType="solid">
        <fgColor rgb="FF1F4E78"/>
        <bgColor rgb="FF156082"/>
      </patternFill>
    </fill>
    <fill>
      <patternFill patternType="solid">
        <fgColor rgb="FFE7E6E6"/>
        <bgColor rgb="FFD9EAF7"/>
      </patternFill>
    </fill>
    <fill>
      <patternFill patternType="solid">
        <fgColor rgb="FFFFF2CC"/>
        <bgColor rgb="FFF2F2F2"/>
      </patternFill>
    </fill>
    <fill>
      <patternFill patternType="solid">
        <fgColor rgb="FFD9EAF7"/>
        <bgColor rgb="FFE7E6E6"/>
      </patternFill>
    </fill>
    <fill>
      <patternFill patternType="solid">
        <fgColor rgb="FFF2F2F2"/>
        <bgColor rgb="FFE7E6E6"/>
      </patternFill>
    </fill>
  </fills>
  <borders count="3">
    <border diagonalUp="false" diagonalDown="false">
      <left/>
      <right/>
      <top/>
      <bottom/>
      <diagonal/>
    </border>
    <border diagonalUp="false" diagonalDown="false">
      <left/>
      <right/>
      <top style="thin"/>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4" borderId="0" xfId="0" applyFont="true" applyBorder="false" applyAlignment="true" applyProtection="false">
      <alignment horizontal="general" vertical="bottom" textRotation="0" wrapText="true" indent="0" shrinkToFit="false"/>
      <protection locked="true" hidden="false"/>
    </xf>
    <xf numFmtId="164" fontId="4" fillId="5" borderId="0" xfId="0" applyFont="true" applyBorder="true" applyAlignment="true" applyProtection="false">
      <alignment horizontal="general" vertical="bottom" textRotation="0" wrapText="true" indent="0" shrinkToFit="false"/>
      <protection locked="true" hidden="false"/>
    </xf>
    <xf numFmtId="164" fontId="4" fillId="6" borderId="0" xfId="0" applyFont="true" applyBorder="true" applyAlignment="true" applyProtection="false">
      <alignment horizontal="general" vertical="bottom" textRotation="0" wrapText="tru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left" vertical="bottom" textRotation="0" wrapText="false" indent="0" shrinkToFit="false"/>
      <protection locked="true" hidden="false"/>
    </xf>
    <xf numFmtId="164" fontId="7" fillId="4" borderId="0" xfId="0" applyFont="true" applyBorder="false" applyAlignment="true" applyProtection="false">
      <alignment horizontal="right" vertical="bottom" textRotation="0" wrapText="fals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general" vertical="bottom" textRotation="0" wrapText="fals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71" fontId="9"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65" fontId="7" fillId="4" borderId="0" xfId="0" applyFont="true" applyBorder="false" applyAlignment="true" applyProtection="false">
      <alignment horizontal="general" vertical="bottom" textRotation="0" wrapText="false" indent="0" shrinkToFit="false"/>
      <protection locked="true" hidden="false"/>
    </xf>
    <xf numFmtId="173" fontId="11" fillId="0" borderId="0" xfId="0" applyFont="true" applyBorder="false" applyAlignment="true" applyProtection="false">
      <alignment horizontal="general" vertical="bottom" textRotation="0" wrapText="false" indent="0" shrinkToFit="false"/>
      <protection locked="true" hidden="false"/>
    </xf>
    <xf numFmtId="171" fontId="9" fillId="5" borderId="0" xfId="0" applyFont="true" applyBorder="false" applyAlignment="true" applyProtection="false">
      <alignment horizontal="general" vertical="bottom" textRotation="0" wrapText="false" indent="0" shrinkToFit="false"/>
      <protection locked="true" hidden="false"/>
    </xf>
    <xf numFmtId="165" fontId="9" fillId="5"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73" fontId="12" fillId="4"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6" fillId="5" borderId="0" xfId="0" applyFont="true" applyBorder="true" applyAlignment="true" applyProtection="false">
      <alignment horizontal="general" vertical="bottom" textRotation="0" wrapText="tru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73" fontId="13"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72" fontId="13" fillId="0" borderId="0" xfId="0" applyFont="true" applyBorder="false" applyAlignment="true" applyProtection="false">
      <alignment horizontal="general" vertical="bottom" textRotation="0" wrapText="false" indent="0" shrinkToFit="false"/>
      <protection locked="true" hidden="false"/>
    </xf>
    <xf numFmtId="171" fontId="13" fillId="0" borderId="0" xfId="0" applyFont="true" applyBorder="false" applyAlignment="tru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164" fontId="4" fillId="5" borderId="0" xfId="0" applyFont="true" applyBorder="true" applyAlignment="true" applyProtection="false">
      <alignment horizontal="general" vertical="top"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center" vertical="center" textRotation="0" wrapText="false" indent="0" shrinkToFit="false"/>
      <protection locked="true" hidden="false"/>
    </xf>
    <xf numFmtId="164" fontId="20" fillId="0" borderId="2" xfId="0" applyFont="true" applyBorder="true" applyAlignment="true" applyProtection="false">
      <alignment horizontal="general" vertical="bottom" textRotation="0" wrapText="false" indent="0" shrinkToFit="false"/>
      <protection locked="true" hidden="false"/>
    </xf>
    <xf numFmtId="174" fontId="21" fillId="0" borderId="2" xfId="0" applyFont="true" applyBorder="true" applyAlignment="tru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75" fontId="21" fillId="0" borderId="2" xfId="0" applyFont="true" applyBorder="true" applyAlignment="true" applyProtection="false">
      <alignment horizontal="general" vertical="bottom" textRotation="0" wrapText="false" indent="0" shrinkToFit="false"/>
      <protection locked="true" hidden="false"/>
    </xf>
    <xf numFmtId="164" fontId="19" fillId="7" borderId="2" xfId="0" applyFont="true" applyBorder="true" applyAlignment="true" applyProtection="false">
      <alignment horizontal="general" vertical="bottom" textRotation="0" wrapText="false" indent="0" shrinkToFit="false"/>
      <protection locked="true" hidden="false"/>
    </xf>
    <xf numFmtId="174" fontId="22" fillId="7" borderId="2" xfId="0" applyFont="true" applyBorder="true" applyAlignment="true" applyProtection="false">
      <alignment horizontal="general" vertical="bottom" textRotation="0" wrapText="false" indent="0" shrinkToFit="false"/>
      <protection locked="true" hidden="false"/>
    </xf>
    <xf numFmtId="164" fontId="18" fillId="7" borderId="2" xfId="0" applyFont="true" applyBorder="true" applyAlignment="true" applyProtection="false">
      <alignment horizontal="general" vertical="bottom" textRotation="0" wrapText="false" indent="0" shrinkToFit="false"/>
      <protection locked="true" hidden="false"/>
    </xf>
    <xf numFmtId="176" fontId="23" fillId="0" borderId="2" xfId="0" applyFont="true" applyBorder="true" applyAlignment="true" applyProtection="false">
      <alignment horizontal="general" vertical="bottom" textRotation="0" wrapText="false" indent="0" shrinkToFit="false"/>
      <protection locked="true" hidden="false"/>
    </xf>
    <xf numFmtId="176" fontId="22" fillId="0" borderId="2" xfId="0" applyFont="true" applyBorder="true" applyAlignment="true" applyProtection="false">
      <alignment horizontal="general" vertical="bottom" textRotation="0" wrapText="false" indent="0" shrinkToFit="false"/>
      <protection locked="true" hidden="false"/>
    </xf>
    <xf numFmtId="176" fontId="22" fillId="7" borderId="2" xfId="0" applyFont="true" applyBorder="true" applyAlignment="true" applyProtection="false">
      <alignment horizontal="general" vertical="bottom" textRotation="0" wrapText="false" indent="0" shrinkToFit="false"/>
      <protection locked="true" hidden="false"/>
    </xf>
    <xf numFmtId="174" fontId="21"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21" fillId="0" borderId="2" xfId="0" applyFont="true" applyBorder="true" applyAlignment="true" applyProtection="false">
      <alignment horizontal="general" vertical="bottom" textRotation="0" wrapText="false" indent="0" shrinkToFit="false"/>
      <protection locked="true" hidden="false"/>
    </xf>
    <xf numFmtId="177" fontId="22" fillId="0" borderId="2" xfId="0" applyFont="true" applyBorder="true" applyAlignment="true" applyProtection="false">
      <alignment horizontal="general" vertical="bottom" textRotation="0" wrapText="false" indent="0" shrinkToFit="false"/>
      <protection locked="true" hidden="false"/>
    </xf>
    <xf numFmtId="173" fontId="21" fillId="0" borderId="2" xfId="0" applyFont="true" applyBorder="true" applyAlignment="true" applyProtection="false">
      <alignment horizontal="general" vertical="bottom" textRotation="0" wrapText="false" indent="0" shrinkToFit="false"/>
      <protection locked="true" hidden="false"/>
    </xf>
    <xf numFmtId="172" fontId="23" fillId="0" borderId="2" xfId="0" applyFont="true" applyBorder="true" applyAlignment="true" applyProtection="false">
      <alignment horizontal="general" vertical="bottom" textRotation="0" wrapText="false" indent="0" shrinkToFit="false"/>
      <protection locked="true" hidden="false"/>
    </xf>
    <xf numFmtId="178" fontId="22" fillId="7" borderId="2" xfId="0" applyFont="true" applyBorder="true" applyAlignment="true" applyProtection="false">
      <alignment horizontal="general" vertical="bottom" textRotation="0" wrapText="false" indent="0" shrinkToFit="false"/>
      <protection locked="true" hidden="false"/>
    </xf>
    <xf numFmtId="178" fontId="23" fillId="0" borderId="2" xfId="0" applyFont="true" applyBorder="true" applyAlignment="true" applyProtection="false">
      <alignment horizontal="general" vertical="bottom" textRotation="0" wrapText="false" indent="0" shrinkToFit="false"/>
      <protection locked="true" hidden="false"/>
    </xf>
    <xf numFmtId="164" fontId="24" fillId="3" borderId="2" xfId="0" applyFont="true" applyBorder="true" applyAlignment="true" applyProtection="false">
      <alignment horizontal="general" vertical="bottom" textRotation="0" wrapText="false" indent="0" shrinkToFit="false"/>
      <protection locked="true" hidden="false"/>
    </xf>
    <xf numFmtId="174" fontId="24" fillId="3" borderId="2" xfId="0" applyFont="true" applyBorder="true" applyAlignment="true" applyProtection="false">
      <alignment horizontal="center" vertical="bottom" textRotation="0" wrapText="false" indent="0" shrinkToFit="false"/>
      <protection locked="true" hidden="false"/>
    </xf>
    <xf numFmtId="174" fontId="25" fillId="0" borderId="2" xfId="0" applyFont="true" applyBorder="true" applyAlignment="true" applyProtection="false">
      <alignment horizontal="general" vertical="bottom" textRotation="0" wrapText="false" indent="0" shrinkToFit="false"/>
      <protection locked="true" hidden="false"/>
    </xf>
    <xf numFmtId="178" fontId="26" fillId="0" borderId="2" xfId="0" applyFont="true" applyBorder="true" applyAlignment="true" applyProtection="false">
      <alignment horizontal="general" vertical="bottom" textRotation="0" wrapText="false" indent="0" shrinkToFit="false"/>
      <protection locked="true" hidden="false"/>
    </xf>
    <xf numFmtId="174" fontId="27" fillId="0" borderId="2" xfId="0" applyFont="true" applyBorder="true" applyAlignment="true" applyProtection="false">
      <alignment horizontal="general" vertical="bottom" textRotation="0" wrapText="false" indent="0" shrinkToFit="false"/>
      <protection locked="true" hidden="false"/>
    </xf>
    <xf numFmtId="178" fontId="26" fillId="5" borderId="2"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general" vertical="bottom" textRotation="0" wrapText="true" indent="0" shrinkToFit="false"/>
      <protection locked="true" hidden="false"/>
    </xf>
    <xf numFmtId="171" fontId="4" fillId="0" borderId="0" xfId="0" applyFont="tru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4" fontId="20" fillId="5" borderId="0"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78" fontId="21" fillId="0" borderId="2" xfId="0" applyFont="true" applyBorder="true" applyAlignment="true" applyProtection="false">
      <alignment horizontal="general" vertical="bottom" textRotation="0" wrapText="false" indent="0" shrinkToFit="false"/>
      <protection locked="true" hidden="false"/>
    </xf>
    <xf numFmtId="173" fontId="22" fillId="0" borderId="2" xfId="0" applyFont="true" applyBorder="true" applyAlignment="true" applyProtection="false">
      <alignment horizontal="general" vertical="bottom" textRotation="0" wrapText="false" indent="0" shrinkToFit="false"/>
      <protection locked="true" hidden="false"/>
    </xf>
    <xf numFmtId="172" fontId="21" fillId="0" borderId="2" xfId="0" applyFont="true" applyBorder="true" applyAlignment="true" applyProtection="false">
      <alignment horizontal="general" vertical="bottom" textRotation="0" wrapText="false" indent="0" shrinkToFit="false"/>
      <protection locked="true" hidden="false"/>
    </xf>
    <xf numFmtId="164" fontId="19" fillId="0" borderId="2" xfId="0" applyFont="true" applyBorder="true" applyAlignment="true" applyProtection="false">
      <alignment horizontal="general" vertical="bottom" textRotation="0" wrapText="false" indent="0" shrinkToFit="false"/>
      <protection locked="true" hidden="false"/>
    </xf>
    <xf numFmtId="176" fontId="21" fillId="0" borderId="2" xfId="0" applyFont="true" applyBorder="true" applyAlignment="tru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77" fontId="18"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9999FF"/>
      <rgbColor rgb="FFA02B93"/>
      <rgbColor rgb="FFFFF2CC"/>
      <rgbColor rgb="FFD9EAF7"/>
      <rgbColor rgb="FF660066"/>
      <rgbColor rgb="FFFF8080"/>
      <rgbColor rgb="FF0066CC"/>
      <rgbColor rgb="FFD9D9D9"/>
      <rgbColor rgb="FF000080"/>
      <rgbColor rgb="FFFF00FF"/>
      <rgbColor rgb="FFFFFF00"/>
      <rgbColor rgb="FF00FFFF"/>
      <rgbColor rgb="FF800080"/>
      <rgbColor rgb="FF800000"/>
      <rgbColor rgb="FF196B24"/>
      <rgbColor rgb="FF0000FF"/>
      <rgbColor rgb="FF0F9ED5"/>
      <rgbColor rgb="FFF2F2F2"/>
      <rgbColor rgb="FFE7E6E6"/>
      <rgbColor rgb="FFFFFF99"/>
      <rgbColor rgb="FF99CCFF"/>
      <rgbColor rgb="FFFF99CC"/>
      <rgbColor rgb="FFCC99FF"/>
      <rgbColor rgb="FFFFCC99"/>
      <rgbColor rgb="FF3366FF"/>
      <rgbColor rgb="FF33CCCC"/>
      <rgbColor rgb="FF99CC00"/>
      <rgbColor rgb="FFFFCC00"/>
      <rgbColor rgb="FFFF9900"/>
      <rgbColor rgb="FFE97132"/>
      <rgbColor rgb="FF666666"/>
      <rgbColor rgb="FF969696"/>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Arm Revenue Mix — FY2022 to FY2026</a:t>
            </a:r>
          </a:p>
        </c:rich>
      </c:tx>
      <c:overlay val="0"/>
      <c:spPr>
        <a:noFill/>
        <a:ln w="0">
          <a:noFill/>
        </a:ln>
      </c:spPr>
    </c:title>
    <c:autoTitleDeleted val="0"/>
    <c:plotArea>
      <c:lineChart>
        <c:grouping val="standard"/>
        <c:varyColors val="0"/>
        <c:ser>
          <c:idx val="0"/>
          <c:order val="0"/>
          <c:tx>
            <c:strRef>
              <c:f>"FY2022A"</c:f>
              <c:strCache>
                <c:ptCount val="1"/>
                <c:pt idx="0">
                  <c:v>FY2022A</c:v>
                </c:pt>
              </c:strCache>
            </c:strRef>
          </c:tx>
          <c:spPr>
            <a:solidFill>
              <a:srgbClr val="156082"/>
            </a:solidFill>
            <a:ln w="38160">
              <a:solidFill>
                <a:srgbClr val="156082"/>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'Revenue Mix &amp; KPIs'!$H$5:$H$6</c:f>
              <c:strCache>
                <c:ptCount val="2"/>
                <c:pt idx="0">
                  <c:v>License &amp; Other</c:v>
                </c:pt>
                <c:pt idx="1">
                  <c:v>Royalty</c:v>
                </c:pt>
              </c:strCache>
            </c:strRef>
          </c:cat>
          <c:val>
            <c:numRef>
              <c:f>'Revenue Mix &amp; KPIs'!$I$5:$I$6</c:f>
              <c:numCache>
                <c:formatCode>\$#,##0;[RED]"($"#,##0\);\-</c:formatCode>
                <c:ptCount val="2"/>
                <c:pt idx="0">
                  <c:v>1141</c:v>
                </c:pt>
                <c:pt idx="1">
                  <c:v>1562</c:v>
                </c:pt>
              </c:numCache>
            </c:numRef>
          </c:val>
          <c:smooth val="0"/>
        </c:ser>
        <c:ser>
          <c:idx val="1"/>
          <c:order val="1"/>
          <c:tx>
            <c:strRef>
              <c:f>"FY2023A"</c:f>
              <c:strCache>
                <c:ptCount val="1"/>
                <c:pt idx="0">
                  <c:v>FY2023A</c:v>
                </c:pt>
              </c:strCache>
            </c:strRef>
          </c:tx>
          <c:spPr>
            <a:solidFill>
              <a:srgbClr val="e97132"/>
            </a:solidFill>
            <a:ln w="38160">
              <a:solidFill>
                <a:srgbClr val="e97132"/>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'Revenue Mix &amp; KPIs'!$H$5:$H$6</c:f>
              <c:strCache>
                <c:ptCount val="2"/>
                <c:pt idx="0">
                  <c:v>License &amp; Other</c:v>
                </c:pt>
                <c:pt idx="1">
                  <c:v>Royalty</c:v>
                </c:pt>
              </c:strCache>
            </c:strRef>
          </c:cat>
          <c:val>
            <c:numRef>
              <c:f>'Revenue Mix &amp; KPIs'!$J$5:$J$6</c:f>
              <c:numCache>
                <c:formatCode>\$#,##0;[RED]"($"#,##0\);\-</c:formatCode>
                <c:ptCount val="2"/>
                <c:pt idx="0">
                  <c:v>1004</c:v>
                </c:pt>
                <c:pt idx="1">
                  <c:v>1675</c:v>
                </c:pt>
              </c:numCache>
            </c:numRef>
          </c:val>
          <c:smooth val="0"/>
        </c:ser>
        <c:ser>
          <c:idx val="2"/>
          <c:order val="2"/>
          <c:tx>
            <c:strRef>
              <c:f>"FY2024A"</c:f>
              <c:strCache>
                <c:ptCount val="1"/>
                <c:pt idx="0">
                  <c:v>FY2024A</c:v>
                </c:pt>
              </c:strCache>
            </c:strRef>
          </c:tx>
          <c:spPr>
            <a:solidFill>
              <a:srgbClr val="196b24"/>
            </a:solidFill>
            <a:ln w="38160">
              <a:solidFill>
                <a:srgbClr val="196b24"/>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'Revenue Mix &amp; KPIs'!$H$5:$H$6</c:f>
              <c:strCache>
                <c:ptCount val="2"/>
                <c:pt idx="0">
                  <c:v>License &amp; Other</c:v>
                </c:pt>
                <c:pt idx="1">
                  <c:v>Royalty</c:v>
                </c:pt>
              </c:strCache>
            </c:strRef>
          </c:cat>
          <c:val>
            <c:numRef>
              <c:f>'Revenue Mix &amp; KPIs'!$K$5:$K$6</c:f>
              <c:numCache>
                <c:formatCode>\$#,##0;[RED]"($"#,##0\);\-</c:formatCode>
                <c:ptCount val="2"/>
                <c:pt idx="0">
                  <c:v>1431</c:v>
                </c:pt>
                <c:pt idx="1">
                  <c:v>1802</c:v>
                </c:pt>
              </c:numCache>
            </c:numRef>
          </c:val>
          <c:smooth val="0"/>
        </c:ser>
        <c:ser>
          <c:idx val="3"/>
          <c:order val="3"/>
          <c:tx>
            <c:strRef>
              <c:f>"FY2025A"</c:f>
              <c:strCache>
                <c:ptCount val="1"/>
                <c:pt idx="0">
                  <c:v>FY2025A</c:v>
                </c:pt>
              </c:strCache>
            </c:strRef>
          </c:tx>
          <c:spPr>
            <a:solidFill>
              <a:srgbClr val="0f9ed5"/>
            </a:solidFill>
            <a:ln w="38160">
              <a:solidFill>
                <a:srgbClr val="0f9ed5"/>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'Revenue Mix &amp; KPIs'!$H$5:$H$6</c:f>
              <c:strCache>
                <c:ptCount val="2"/>
                <c:pt idx="0">
                  <c:v>License &amp; Other</c:v>
                </c:pt>
                <c:pt idx="1">
                  <c:v>Royalty</c:v>
                </c:pt>
              </c:strCache>
            </c:strRef>
          </c:cat>
          <c:val>
            <c:numRef>
              <c:f>'Revenue Mix &amp; KPIs'!$L$5:$L$6</c:f>
              <c:numCache>
                <c:formatCode>\$#,##0;[RED]"($"#,##0\);\-</c:formatCode>
                <c:ptCount val="2"/>
                <c:pt idx="0">
                  <c:v>1839</c:v>
                </c:pt>
                <c:pt idx="1">
                  <c:v>2168</c:v>
                </c:pt>
              </c:numCache>
            </c:numRef>
          </c:val>
          <c:smooth val="0"/>
        </c:ser>
        <c:ser>
          <c:idx val="4"/>
          <c:order val="4"/>
          <c:tx>
            <c:strRef>
              <c:f>"FY2026A"</c:f>
              <c:strCache>
                <c:ptCount val="1"/>
                <c:pt idx="0">
                  <c:v>FY2026A</c:v>
                </c:pt>
              </c:strCache>
            </c:strRef>
          </c:tx>
          <c:spPr>
            <a:solidFill>
              <a:srgbClr val="a02b93"/>
            </a:solidFill>
            <a:ln w="38160">
              <a:solidFill>
                <a:srgbClr val="a02b93"/>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'Revenue Mix &amp; KPIs'!$H$5:$H$6</c:f>
              <c:strCache>
                <c:ptCount val="2"/>
                <c:pt idx="0">
                  <c:v>License &amp; Other</c:v>
                </c:pt>
                <c:pt idx="1">
                  <c:v>Royalty</c:v>
                </c:pt>
              </c:strCache>
            </c:strRef>
          </c:cat>
          <c:val>
            <c:numRef>
              <c:f>'Revenue Mix &amp; KPIs'!$M$5:$M$6</c:f>
              <c:numCache>
                <c:formatCode>\$#,##0;[RED]"($"#,##0\);\-</c:formatCode>
                <c:ptCount val="2"/>
                <c:pt idx="0">
                  <c:v>2307</c:v>
                </c:pt>
                <c:pt idx="1">
                  <c:v>2613</c:v>
                </c:pt>
              </c:numCache>
            </c:numRef>
          </c:val>
          <c:smooth val="0"/>
        </c:ser>
        <c:hiLowLines>
          <c:spPr>
            <a:ln w="0">
              <a:noFill/>
            </a:ln>
          </c:spPr>
        </c:hiLowLines>
        <c:marker val="0"/>
        <c:axId val="85989050"/>
        <c:axId val="45115095"/>
      </c:lineChart>
      <c:catAx>
        <c:axId val="85989050"/>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45115095"/>
        <c:crosses val="autoZero"/>
        <c:auto val="1"/>
        <c:lblAlgn val="ctr"/>
        <c:lblOffset val="100"/>
        <c:noMultiLvlLbl val="0"/>
      </c:catAx>
      <c:valAx>
        <c:axId val="45115095"/>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8598905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Arm IPO Price vs. Comp-Implied Value</a:t>
            </a:r>
          </a:p>
        </c:rich>
      </c:tx>
      <c:overlay val="0"/>
      <c:spPr>
        <a:noFill/>
        <a:ln w="0">
          <a:noFill/>
        </a:ln>
      </c:spPr>
    </c:title>
    <c:autoTitleDeleted val="0"/>
    <c:plotArea>
      <c:barChart>
        <c:barDir val="col"/>
        <c:grouping val="clustered"/>
        <c:varyColors val="0"/>
        <c:ser>
          <c:idx val="0"/>
          <c:order val="0"/>
          <c:tx>
            <c:strRef>
              <c:f>"Implied Share Price"</c:f>
              <c:strCache>
                <c:ptCount val="1"/>
                <c:pt idx="0">
                  <c:v>Implied Share Price</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'IPO Valuation'!$J$6:$J$9</c:f>
              <c:strCache>
                <c:ptCount val="4"/>
                <c:pt idx="0">
                  <c:v>Peer Median</c:v>
                </c:pt>
                <c:pt idx="1">
                  <c:v>Core IP/EDA</c:v>
                </c:pt>
                <c:pt idx="2">
                  <c:v>75th Percentile</c:v>
                </c:pt>
                <c:pt idx="3">
                  <c:v>IPO Price</c:v>
                </c:pt>
              </c:strCache>
            </c:strRef>
          </c:cat>
          <c:val>
            <c:numRef>
              <c:f>'IPO Valuation'!$K$6:$K$9</c:f>
              <c:numCache>
                <c:formatCode>General</c:formatCode>
                <c:ptCount val="4"/>
                <c:pt idx="0">
                  <c:v>35</c:v>
                </c:pt>
                <c:pt idx="1">
                  <c:v>43.41</c:v>
                </c:pt>
                <c:pt idx="2">
                  <c:v>45.22</c:v>
                </c:pt>
                <c:pt idx="3">
                  <c:v>51</c:v>
                </c:pt>
              </c:numCache>
            </c:numRef>
          </c:val>
        </c:ser>
        <c:gapWidth val="150"/>
        <c:overlap val="0"/>
        <c:axId val="97757799"/>
        <c:axId val="30656340"/>
      </c:barChart>
      <c:catAx>
        <c:axId val="97757799"/>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30656340"/>
        <c:crosses val="autoZero"/>
        <c:auto val="1"/>
        <c:lblAlgn val="ctr"/>
        <c:lblOffset val="100"/>
        <c:noMultiLvlLbl val="0"/>
      </c:catAx>
      <c:valAx>
        <c:axId val="30656340"/>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775779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Arm Revenue Growth Since IPO</a:t>
            </a:r>
          </a:p>
        </c:rich>
      </c:tx>
      <c:overlay val="0"/>
      <c:spPr>
        <a:noFill/>
        <a:ln w="0">
          <a:noFill/>
        </a:ln>
      </c:spPr>
    </c:title>
    <c:autoTitleDeleted val="0"/>
    <c:plotArea>
      <c:lineChart>
        <c:grouping val="standard"/>
        <c:varyColors val="0"/>
        <c:ser>
          <c:idx val="0"/>
          <c:order val="0"/>
          <c:tx>
            <c:strRef>
              <c:f>"FY2023A"</c:f>
              <c:strCache>
                <c:ptCount val="1"/>
                <c:pt idx="0">
                  <c:v>FY2023A</c:v>
                </c:pt>
              </c:strCache>
            </c:strRef>
          </c:tx>
          <c:spPr>
            <a:solidFill>
              <a:srgbClr val="156082"/>
            </a:solidFill>
            <a:ln w="38160">
              <a:solidFill>
                <a:srgbClr val="156082"/>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'Post-IPO Performance'!$J$6:$J$8</c:f>
              <c:strCache>
                <c:ptCount val="3"/>
                <c:pt idx="0">
                  <c:v>Total Revenue</c:v>
                </c:pt>
                <c:pt idx="1">
                  <c:v>License &amp; Other</c:v>
                </c:pt>
                <c:pt idx="2">
                  <c:v>Royalty Revenue</c:v>
                </c:pt>
              </c:strCache>
            </c:strRef>
          </c:cat>
          <c:val>
            <c:numRef>
              <c:f>'Post-IPO Performance'!$K$6:$K$8</c:f>
              <c:numCache>
                <c:formatCode>General</c:formatCode>
                <c:ptCount val="3"/>
                <c:pt idx="0">
                  <c:v>2679</c:v>
                </c:pt>
                <c:pt idx="1">
                  <c:v>1004</c:v>
                </c:pt>
                <c:pt idx="2">
                  <c:v>1675</c:v>
                </c:pt>
              </c:numCache>
            </c:numRef>
          </c:val>
          <c:smooth val="0"/>
        </c:ser>
        <c:ser>
          <c:idx val="1"/>
          <c:order val="1"/>
          <c:tx>
            <c:strRef>
              <c:f>"FY2024A"</c:f>
              <c:strCache>
                <c:ptCount val="1"/>
                <c:pt idx="0">
                  <c:v>FY2024A</c:v>
                </c:pt>
              </c:strCache>
            </c:strRef>
          </c:tx>
          <c:spPr>
            <a:solidFill>
              <a:srgbClr val="e97132"/>
            </a:solidFill>
            <a:ln w="38160">
              <a:solidFill>
                <a:srgbClr val="e97132"/>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'Post-IPO Performance'!$J$6:$J$8</c:f>
              <c:strCache>
                <c:ptCount val="3"/>
                <c:pt idx="0">
                  <c:v>Total Revenue</c:v>
                </c:pt>
                <c:pt idx="1">
                  <c:v>License &amp; Other</c:v>
                </c:pt>
                <c:pt idx="2">
                  <c:v>Royalty Revenue</c:v>
                </c:pt>
              </c:strCache>
            </c:strRef>
          </c:cat>
          <c:val>
            <c:numRef>
              <c:f>'Post-IPO Performance'!$L$6:$L$8</c:f>
              <c:numCache>
                <c:formatCode>General</c:formatCode>
                <c:ptCount val="3"/>
                <c:pt idx="0">
                  <c:v>3233</c:v>
                </c:pt>
                <c:pt idx="1">
                  <c:v>1431</c:v>
                </c:pt>
                <c:pt idx="2">
                  <c:v>1802</c:v>
                </c:pt>
              </c:numCache>
            </c:numRef>
          </c:val>
          <c:smooth val="0"/>
        </c:ser>
        <c:ser>
          <c:idx val="2"/>
          <c:order val="2"/>
          <c:tx>
            <c:strRef>
              <c:f>"FY2025A"</c:f>
              <c:strCache>
                <c:ptCount val="1"/>
                <c:pt idx="0">
                  <c:v>FY2025A</c:v>
                </c:pt>
              </c:strCache>
            </c:strRef>
          </c:tx>
          <c:spPr>
            <a:solidFill>
              <a:srgbClr val="196b24"/>
            </a:solidFill>
            <a:ln w="38160">
              <a:solidFill>
                <a:srgbClr val="196b24"/>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'Post-IPO Performance'!$J$6:$J$8</c:f>
              <c:strCache>
                <c:ptCount val="3"/>
                <c:pt idx="0">
                  <c:v>Total Revenue</c:v>
                </c:pt>
                <c:pt idx="1">
                  <c:v>License &amp; Other</c:v>
                </c:pt>
                <c:pt idx="2">
                  <c:v>Royalty Revenue</c:v>
                </c:pt>
              </c:strCache>
            </c:strRef>
          </c:cat>
          <c:val>
            <c:numRef>
              <c:f>'Post-IPO Performance'!$M$6:$M$8</c:f>
              <c:numCache>
                <c:formatCode>General</c:formatCode>
                <c:ptCount val="3"/>
                <c:pt idx="0">
                  <c:v>4007</c:v>
                </c:pt>
                <c:pt idx="1">
                  <c:v>1839</c:v>
                </c:pt>
                <c:pt idx="2">
                  <c:v>2168</c:v>
                </c:pt>
              </c:numCache>
            </c:numRef>
          </c:val>
          <c:smooth val="0"/>
        </c:ser>
        <c:ser>
          <c:idx val="3"/>
          <c:order val="3"/>
          <c:tx>
            <c:strRef>
              <c:f>"FY2026A"</c:f>
              <c:strCache>
                <c:ptCount val="1"/>
                <c:pt idx="0">
                  <c:v>FY2026A</c:v>
                </c:pt>
              </c:strCache>
            </c:strRef>
          </c:tx>
          <c:spPr>
            <a:solidFill>
              <a:srgbClr val="0f9ed5"/>
            </a:solidFill>
            <a:ln w="38160">
              <a:solidFill>
                <a:srgbClr val="0f9ed5"/>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'Post-IPO Performance'!$J$6:$J$8</c:f>
              <c:strCache>
                <c:ptCount val="3"/>
                <c:pt idx="0">
                  <c:v>Total Revenue</c:v>
                </c:pt>
                <c:pt idx="1">
                  <c:v>License &amp; Other</c:v>
                </c:pt>
                <c:pt idx="2">
                  <c:v>Royalty Revenue</c:v>
                </c:pt>
              </c:strCache>
            </c:strRef>
          </c:cat>
          <c:val>
            <c:numRef>
              <c:f>'Post-IPO Performance'!$N$6:$N$8</c:f>
              <c:numCache>
                <c:formatCode>General</c:formatCode>
                <c:ptCount val="3"/>
                <c:pt idx="0">
                  <c:v>4920</c:v>
                </c:pt>
                <c:pt idx="1">
                  <c:v>2307</c:v>
                </c:pt>
                <c:pt idx="2">
                  <c:v>2613</c:v>
                </c:pt>
              </c:numCache>
            </c:numRef>
          </c:val>
          <c:smooth val="0"/>
        </c:ser>
        <c:hiLowLines>
          <c:spPr>
            <a:ln w="0">
              <a:noFill/>
            </a:ln>
          </c:spPr>
        </c:hiLowLines>
        <c:marker val="0"/>
        <c:axId val="64626296"/>
        <c:axId val="98959887"/>
      </c:lineChart>
      <c:catAx>
        <c:axId val="64626296"/>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8959887"/>
        <c:crosses val="autoZero"/>
        <c:auto val="1"/>
        <c:lblAlgn val="ctr"/>
        <c:lblOffset val="100"/>
        <c:noMultiLvlLbl val="0"/>
      </c:catAx>
      <c:valAx>
        <c:axId val="98959887"/>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6462629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7</xdr:row>
      <xdr:rowOff>0</xdr:rowOff>
    </xdr:from>
    <xdr:to>
      <xdr:col>14</xdr:col>
      <xdr:colOff>609480</xdr:colOff>
      <xdr:row>22</xdr:row>
      <xdr:rowOff>188640</xdr:rowOff>
    </xdr:to>
    <xdr:graphicFrame>
      <xdr:nvGraphicFramePr>
        <xdr:cNvPr id="0" name="Chart 1"/>
        <xdr:cNvGraphicFramePr/>
      </xdr:nvGraphicFramePr>
      <xdr:xfrm>
        <a:off x="7800840" y="1333440"/>
        <a:ext cx="6719040" cy="3046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10</xdr:row>
      <xdr:rowOff>0</xdr:rowOff>
    </xdr:from>
    <xdr:to>
      <xdr:col>16</xdr:col>
      <xdr:colOff>609840</xdr:colOff>
      <xdr:row>27</xdr:row>
      <xdr:rowOff>19440</xdr:rowOff>
    </xdr:to>
    <xdr:graphicFrame>
      <xdr:nvGraphicFramePr>
        <xdr:cNvPr id="1" name="Chart 1"/>
        <xdr:cNvGraphicFramePr/>
      </xdr:nvGraphicFramePr>
      <xdr:xfrm>
        <a:off x="12664440" y="1905120"/>
        <a:ext cx="48902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9</xdr:row>
      <xdr:rowOff>0</xdr:rowOff>
    </xdr:from>
    <xdr:to>
      <xdr:col>16</xdr:col>
      <xdr:colOff>609480</xdr:colOff>
      <xdr:row>23</xdr:row>
      <xdr:rowOff>82080</xdr:rowOff>
    </xdr:to>
    <xdr:graphicFrame>
      <xdr:nvGraphicFramePr>
        <xdr:cNvPr id="2" name="Chart 1"/>
        <xdr:cNvGraphicFramePr/>
      </xdr:nvGraphicFramePr>
      <xdr:xfrm>
        <a:off x="12125160" y="1714680"/>
        <a:ext cx="4890240" cy="3396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3"/>
    <col collapsed="false" customWidth="true" hidden="false" outlineLevel="0" max="2" min="2" style="1" width="18"/>
    <col collapsed="false" customWidth="true" hidden="false" outlineLevel="0" max="3" min="3" style="1" width="55"/>
    <col collapsed="false" customWidth="true" hidden="false" outlineLevel="0" max="6" min="4" style="1" width="14"/>
  </cols>
  <sheetData>
    <row r="1" customFormat="false" ht="15" hidden="false" customHeight="true" outlineLevel="0" collapsed="false">
      <c r="A1" s="2" t="s">
        <v>0</v>
      </c>
      <c r="B1" s="2"/>
      <c r="C1" s="2"/>
      <c r="D1" s="2"/>
      <c r="E1" s="2"/>
      <c r="F1" s="2"/>
    </row>
    <row r="2" customFormat="false" ht="15" hidden="false" customHeight="true" outlineLevel="0" collapsed="false">
      <c r="A2" s="2"/>
      <c r="B2" s="2"/>
      <c r="C2" s="2"/>
      <c r="D2" s="2"/>
      <c r="E2" s="2"/>
      <c r="F2" s="2"/>
    </row>
    <row r="3" customFormat="false" ht="15" hidden="false" customHeight="true" outlineLevel="0" collapsed="false">
      <c r="A3" s="3"/>
      <c r="B3" s="3"/>
      <c r="C3" s="3"/>
      <c r="D3" s="3"/>
      <c r="E3" s="3"/>
      <c r="F3" s="3"/>
    </row>
    <row r="4" customFormat="false" ht="15" hidden="false" customHeight="true" outlineLevel="0" collapsed="false">
      <c r="A4" s="4" t="s">
        <v>1</v>
      </c>
      <c r="B4" s="4"/>
      <c r="C4" s="4"/>
      <c r="D4" s="4"/>
      <c r="E4" s="4"/>
      <c r="F4" s="4"/>
    </row>
    <row r="5" customFormat="false" ht="15" hidden="false" customHeight="true" outlineLevel="0" collapsed="false">
      <c r="A5" s="5" t="s">
        <v>2</v>
      </c>
      <c r="B5" s="5"/>
      <c r="C5" s="5"/>
      <c r="D5" s="5"/>
      <c r="E5" s="5"/>
      <c r="F5" s="5"/>
    </row>
    <row r="6" customFormat="false" ht="15" hidden="false" customHeight="true" outlineLevel="0" collapsed="false">
      <c r="A6" s="5"/>
      <c r="B6" s="5"/>
      <c r="C6" s="5"/>
      <c r="D6" s="5"/>
      <c r="E6" s="5"/>
      <c r="F6" s="5"/>
    </row>
    <row r="7" customFormat="false" ht="15" hidden="false" customHeight="true" outlineLevel="0" collapsed="false">
      <c r="A7" s="5"/>
      <c r="B7" s="5"/>
      <c r="C7" s="5"/>
      <c r="D7" s="5"/>
      <c r="E7" s="5"/>
      <c r="F7" s="5"/>
    </row>
    <row r="8" customFormat="false" ht="15" hidden="false" customHeight="true" outlineLevel="0" collapsed="false">
      <c r="A8" s="3"/>
      <c r="B8" s="3"/>
      <c r="C8" s="3"/>
      <c r="D8" s="3"/>
      <c r="E8" s="3"/>
      <c r="F8" s="3"/>
    </row>
    <row r="9" customFormat="false" ht="15" hidden="false" customHeight="true" outlineLevel="0" collapsed="false">
      <c r="A9" s="4" t="s">
        <v>3</v>
      </c>
      <c r="B9" s="4"/>
      <c r="C9" s="4"/>
      <c r="D9" s="4"/>
      <c r="E9" s="4"/>
      <c r="F9" s="4"/>
    </row>
    <row r="10" customFormat="false" ht="41.25" hidden="false" customHeight="true" outlineLevel="0" collapsed="false">
      <c r="A10" s="6" t="s">
        <v>4</v>
      </c>
      <c r="B10" s="3" t="s">
        <v>5</v>
      </c>
      <c r="C10" s="3"/>
      <c r="D10" s="3"/>
      <c r="E10" s="3"/>
      <c r="F10" s="3"/>
    </row>
    <row r="11" customFormat="false" ht="27.75" hidden="false" customHeight="true" outlineLevel="0" collapsed="false">
      <c r="A11" s="6" t="s">
        <v>6</v>
      </c>
      <c r="B11" s="3" t="s">
        <v>7</v>
      </c>
      <c r="C11" s="3"/>
      <c r="D11" s="3"/>
      <c r="E11" s="3"/>
      <c r="F11" s="3"/>
    </row>
    <row r="12" customFormat="false" ht="41.25" hidden="false" customHeight="true" outlineLevel="0" collapsed="false">
      <c r="A12" s="6" t="s">
        <v>8</v>
      </c>
      <c r="B12" s="3" t="s">
        <v>9</v>
      </c>
      <c r="C12" s="3"/>
      <c r="D12" s="3"/>
      <c r="E12" s="3"/>
      <c r="F12" s="3"/>
    </row>
    <row r="13" customFormat="false" ht="41.25" hidden="false" customHeight="true" outlineLevel="0" collapsed="false">
      <c r="A13" s="6" t="s">
        <v>10</v>
      </c>
      <c r="B13" s="3" t="s">
        <v>11</v>
      </c>
      <c r="C13" s="3"/>
      <c r="D13" s="3"/>
      <c r="E13" s="3"/>
      <c r="F13" s="3"/>
    </row>
    <row r="14" customFormat="false" ht="27.75" hidden="false" customHeight="true" outlineLevel="0" collapsed="false">
      <c r="A14" s="6" t="s">
        <v>12</v>
      </c>
      <c r="B14" s="3" t="s">
        <v>13</v>
      </c>
      <c r="C14" s="3"/>
      <c r="D14" s="3"/>
      <c r="E14" s="3"/>
      <c r="F14" s="3"/>
    </row>
    <row r="15" customFormat="false" ht="15" hidden="false" customHeight="true" outlineLevel="0" collapsed="false">
      <c r="A15" s="3"/>
      <c r="B15" s="3"/>
      <c r="C15" s="3"/>
      <c r="D15" s="3"/>
      <c r="E15" s="3"/>
      <c r="F15" s="3"/>
    </row>
    <row r="16" customFormat="false" ht="15" hidden="false" customHeight="true" outlineLevel="0" collapsed="false">
      <c r="A16" s="4" t="s">
        <v>14</v>
      </c>
      <c r="B16" s="4"/>
      <c r="C16" s="4"/>
      <c r="D16" s="4"/>
      <c r="E16" s="4"/>
      <c r="F16" s="4"/>
    </row>
    <row r="17" customFormat="false" ht="15" hidden="false" customHeight="true" outlineLevel="0" collapsed="false">
      <c r="A17" s="7" t="s">
        <v>15</v>
      </c>
      <c r="B17" s="7" t="s">
        <v>16</v>
      </c>
      <c r="C17" s="7" t="s">
        <v>17</v>
      </c>
      <c r="D17" s="3"/>
      <c r="E17" s="3"/>
      <c r="F17" s="3"/>
    </row>
    <row r="18" customFormat="false" ht="15" hidden="false" customHeight="true" outlineLevel="0" collapsed="false">
      <c r="A18" s="3" t="s">
        <v>18</v>
      </c>
      <c r="B18" s="3" t="s">
        <v>19</v>
      </c>
      <c r="C18" s="3" t="s">
        <v>20</v>
      </c>
      <c r="D18" s="3"/>
      <c r="E18" s="3"/>
      <c r="F18" s="3"/>
    </row>
    <row r="19" customFormat="false" ht="15" hidden="false" customHeight="true" outlineLevel="0" collapsed="false">
      <c r="A19" s="3" t="s">
        <v>21</v>
      </c>
      <c r="B19" s="3" t="s">
        <v>19</v>
      </c>
      <c r="C19" s="3" t="s">
        <v>22</v>
      </c>
      <c r="D19" s="3"/>
      <c r="E19" s="3"/>
      <c r="F19" s="3"/>
    </row>
    <row r="20" customFormat="false" ht="27.75" hidden="false" customHeight="true" outlineLevel="0" collapsed="false">
      <c r="A20" s="3" t="s">
        <v>23</v>
      </c>
      <c r="B20" s="3" t="s">
        <v>19</v>
      </c>
      <c r="C20" s="3" t="s">
        <v>24</v>
      </c>
      <c r="D20" s="3"/>
      <c r="E20" s="3"/>
      <c r="F20" s="3"/>
    </row>
    <row r="21" customFormat="false" ht="15" hidden="false" customHeight="true" outlineLevel="0" collapsed="false">
      <c r="A21" s="3" t="s">
        <v>25</v>
      </c>
      <c r="B21" s="3" t="s">
        <v>19</v>
      </c>
      <c r="C21" s="3" t="s">
        <v>26</v>
      </c>
      <c r="D21" s="3"/>
      <c r="E21" s="3"/>
      <c r="F21" s="3"/>
    </row>
    <row r="22" customFormat="false" ht="27.75" hidden="false" customHeight="true" outlineLevel="0" collapsed="false">
      <c r="A22" s="3" t="s">
        <v>27</v>
      </c>
      <c r="B22" s="3" t="s">
        <v>19</v>
      </c>
      <c r="C22" s="3" t="s">
        <v>28</v>
      </c>
      <c r="D22" s="3"/>
      <c r="E22" s="3"/>
      <c r="F22" s="3"/>
    </row>
    <row r="23" customFormat="false" ht="15" hidden="false" customHeight="true" outlineLevel="0" collapsed="false">
      <c r="A23" s="3" t="s">
        <v>29</v>
      </c>
      <c r="B23" s="3" t="s">
        <v>19</v>
      </c>
      <c r="C23" s="3" t="s">
        <v>30</v>
      </c>
      <c r="D23" s="3"/>
      <c r="E23" s="3"/>
      <c r="F23" s="3"/>
    </row>
    <row r="24" customFormat="false" ht="15" hidden="false" customHeight="true" outlineLevel="0" collapsed="false">
      <c r="A24" s="8" t="s">
        <v>31</v>
      </c>
      <c r="B24" s="8"/>
      <c r="C24" s="8"/>
      <c r="D24" s="8"/>
      <c r="E24" s="8"/>
      <c r="F24" s="8"/>
    </row>
    <row r="25" customFormat="false" ht="15" hidden="false" customHeight="true" outlineLevel="0" collapsed="false">
      <c r="A25" s="8"/>
      <c r="B25" s="8"/>
      <c r="C25" s="8"/>
      <c r="D25" s="8"/>
      <c r="E25" s="8"/>
      <c r="F25" s="8"/>
    </row>
    <row r="26" customFormat="false" ht="15" hidden="false" customHeight="true" outlineLevel="0" collapsed="false">
      <c r="A26" s="8"/>
      <c r="B26" s="8"/>
      <c r="C26" s="8"/>
      <c r="D26" s="8"/>
      <c r="E26" s="8"/>
      <c r="F26" s="8"/>
    </row>
    <row r="27" customFormat="false" ht="15" hidden="false" customHeight="true" outlineLevel="0" collapsed="false">
      <c r="A27" s="3"/>
      <c r="B27" s="3"/>
      <c r="C27" s="3"/>
      <c r="D27" s="3"/>
      <c r="E27" s="3"/>
      <c r="F27" s="3"/>
    </row>
    <row r="28" customFormat="false" ht="15" hidden="false" customHeight="true" outlineLevel="0" collapsed="false">
      <c r="A28" s="9" t="s">
        <v>32</v>
      </c>
      <c r="B28" s="9"/>
      <c r="C28" s="9"/>
      <c r="D28" s="9"/>
      <c r="E28" s="9"/>
      <c r="F28" s="9"/>
    </row>
    <row r="29" customFormat="false" ht="15" hidden="false" customHeight="true" outlineLevel="0" collapsed="false">
      <c r="A29" s="9"/>
      <c r="B29" s="9"/>
      <c r="C29" s="9"/>
      <c r="D29" s="9"/>
      <c r="E29" s="9"/>
      <c r="F29" s="9"/>
    </row>
    <row r="30" customFormat="false" ht="15" hidden="false" customHeight="true" outlineLevel="0" collapsed="false">
      <c r="A30" s="9"/>
      <c r="B30" s="9"/>
      <c r="C30" s="9"/>
      <c r="D30" s="9"/>
      <c r="E30" s="9"/>
      <c r="F30" s="9"/>
    </row>
    <row r="31" customFormat="false" ht="15" hidden="false" customHeight="true" outlineLevel="0" collapsed="false">
      <c r="A31" s="9"/>
      <c r="B31" s="9"/>
      <c r="C31" s="9"/>
      <c r="D31" s="9"/>
      <c r="E31" s="9"/>
      <c r="F31" s="9"/>
    </row>
  </sheetData>
  <mergeCells count="7">
    <mergeCell ref="A1:F2"/>
    <mergeCell ref="A4:F4"/>
    <mergeCell ref="A5:F7"/>
    <mergeCell ref="A9:F9"/>
    <mergeCell ref="A16:F16"/>
    <mergeCell ref="A24:F26"/>
    <mergeCell ref="A28:F3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5"/>
    <col collapsed="false" customWidth="true" hidden="false" outlineLevel="0" max="7" min="2" style="1" width="14"/>
  </cols>
  <sheetData>
    <row r="1" customFormat="false" ht="15" hidden="false" customHeight="true" outlineLevel="0" collapsed="false">
      <c r="A1" s="10" t="s">
        <v>33</v>
      </c>
      <c r="B1" s="10"/>
      <c r="C1" s="10"/>
      <c r="D1" s="10"/>
      <c r="E1" s="10"/>
      <c r="F1" s="10"/>
      <c r="G1" s="10"/>
    </row>
    <row r="2" customFormat="false" ht="15" hidden="false" customHeight="true" outlineLevel="0" collapsed="false">
      <c r="A2" s="10"/>
      <c r="B2" s="10"/>
      <c r="C2" s="10"/>
      <c r="D2" s="10"/>
      <c r="E2" s="10"/>
      <c r="F2" s="10"/>
      <c r="G2" s="10"/>
    </row>
    <row r="3" customFormat="false" ht="15" hidden="false" customHeight="true" outlineLevel="0" collapsed="false">
      <c r="A3" s="11" t="s">
        <v>34</v>
      </c>
      <c r="B3" s="11"/>
      <c r="C3" s="11"/>
      <c r="D3" s="11"/>
      <c r="E3" s="11"/>
      <c r="F3" s="11"/>
      <c r="G3" s="11"/>
    </row>
    <row r="5" customFormat="false" ht="15" hidden="false" customHeight="true" outlineLevel="0" collapsed="false">
      <c r="A5" s="12"/>
      <c r="B5" s="13" t="s">
        <v>35</v>
      </c>
      <c r="C5" s="13" t="s">
        <v>36</v>
      </c>
      <c r="D5" s="13" t="s">
        <v>37</v>
      </c>
      <c r="E5" s="13" t="s">
        <v>38</v>
      </c>
      <c r="F5" s="13" t="s">
        <v>39</v>
      </c>
      <c r="G5" s="13" t="s">
        <v>40</v>
      </c>
    </row>
    <row r="7" customFormat="false" ht="15" hidden="false" customHeight="true" outlineLevel="0" collapsed="false">
      <c r="A7" s="14" t="s">
        <v>41</v>
      </c>
      <c r="B7" s="14"/>
      <c r="C7" s="14"/>
      <c r="D7" s="14"/>
      <c r="E7" s="14"/>
      <c r="F7" s="14"/>
      <c r="G7" s="14"/>
    </row>
    <row r="8" customFormat="false" ht="15" hidden="false" customHeight="true" outlineLevel="0" collapsed="false">
      <c r="A8" s="1" t="s">
        <v>42</v>
      </c>
      <c r="B8" s="15" t="n">
        <v>1141</v>
      </c>
      <c r="C8" s="15" t="n">
        <v>1004</v>
      </c>
      <c r="D8" s="15" t="n">
        <v>1431</v>
      </c>
      <c r="E8" s="15" t="n">
        <v>1839</v>
      </c>
      <c r="F8" s="15" t="n">
        <v>2307</v>
      </c>
      <c r="G8" s="1" t="s">
        <v>43</v>
      </c>
    </row>
    <row r="9" customFormat="false" ht="15" hidden="false" customHeight="true" outlineLevel="0" collapsed="false">
      <c r="A9" s="1" t="s">
        <v>44</v>
      </c>
      <c r="B9" s="15" t="n">
        <v>1562</v>
      </c>
      <c r="C9" s="15" t="n">
        <v>1675</v>
      </c>
      <c r="D9" s="15" t="n">
        <v>1802</v>
      </c>
      <c r="E9" s="15" t="n">
        <v>2168</v>
      </c>
      <c r="F9" s="15" t="n">
        <v>2613</v>
      </c>
      <c r="G9" s="1" t="s">
        <v>43</v>
      </c>
    </row>
    <row r="10" customFormat="false" ht="15" hidden="false" customHeight="true" outlineLevel="0" collapsed="false">
      <c r="A10" s="16" t="s">
        <v>45</v>
      </c>
      <c r="B10" s="17" t="n">
        <v>2703</v>
      </c>
      <c r="C10" s="17" t="n">
        <v>2679</v>
      </c>
      <c r="D10" s="17" t="n">
        <v>3233</v>
      </c>
      <c r="E10" s="17" t="n">
        <v>4007</v>
      </c>
      <c r="F10" s="17" t="n">
        <v>4920</v>
      </c>
      <c r="G10" s="1" t="s">
        <v>43</v>
      </c>
    </row>
    <row r="11" customFormat="false" ht="15" hidden="false" customHeight="true" outlineLevel="0" collapsed="false">
      <c r="A11" s="1" t="s">
        <v>46</v>
      </c>
      <c r="B11" s="18" t="s">
        <v>47</v>
      </c>
      <c r="C11" s="19" t="n">
        <f aca="false">C10/B10-1</f>
        <v>-0.00887902330743617</v>
      </c>
      <c r="D11" s="19" t="n">
        <f aca="false">D10/C10-1</f>
        <v>0.206793579693916</v>
      </c>
      <c r="E11" s="19" t="n">
        <f aca="false">E10/D10-1</f>
        <v>0.239406124342716</v>
      </c>
      <c r="F11" s="19" t="n">
        <f aca="false">F10/E10-1</f>
        <v>0.227851260294485</v>
      </c>
      <c r="G11" s="1" t="s">
        <v>48</v>
      </c>
    </row>
    <row r="12" customFormat="false" ht="15" hidden="false" customHeight="true" outlineLevel="0" collapsed="false">
      <c r="A12" s="1" t="s">
        <v>49</v>
      </c>
      <c r="B12" s="15" t="n">
        <v>-131</v>
      </c>
      <c r="C12" s="15" t="n">
        <v>-106</v>
      </c>
      <c r="D12" s="15" t="n">
        <v>-154</v>
      </c>
      <c r="E12" s="15" t="n">
        <v>-121</v>
      </c>
      <c r="F12" s="15" t="n">
        <v>-121</v>
      </c>
      <c r="G12" s="1" t="s">
        <v>43</v>
      </c>
    </row>
    <row r="13" customFormat="false" ht="15" hidden="false" customHeight="true" outlineLevel="0" collapsed="false">
      <c r="A13" s="16" t="s">
        <v>50</v>
      </c>
      <c r="B13" s="17" t="n">
        <v>2572</v>
      </c>
      <c r="C13" s="17" t="n">
        <v>2573</v>
      </c>
      <c r="D13" s="17" t="n">
        <v>3079</v>
      </c>
      <c r="E13" s="17" t="n">
        <v>3886</v>
      </c>
      <c r="F13" s="17" t="n">
        <v>4799</v>
      </c>
      <c r="G13" s="1" t="s">
        <v>43</v>
      </c>
    </row>
    <row r="14" customFormat="false" ht="15" hidden="false" customHeight="true" outlineLevel="0" collapsed="false">
      <c r="A14" s="1" t="s">
        <v>51</v>
      </c>
      <c r="B14" s="19" t="n">
        <f aca="false">B13/B10</f>
        <v>0.951535331113578</v>
      </c>
      <c r="C14" s="19" t="n">
        <f aca="false">C13/C10</f>
        <v>0.960432997387085</v>
      </c>
      <c r="D14" s="19" t="n">
        <f aca="false">D13/D10</f>
        <v>0.952366223321992</v>
      </c>
      <c r="E14" s="19" t="n">
        <f aca="false">E13/E10</f>
        <v>0.969802845021213</v>
      </c>
      <c r="F14" s="19" t="n">
        <f aca="false">F13/F10</f>
        <v>0.975406504065041</v>
      </c>
      <c r="G14" s="1" t="s">
        <v>48</v>
      </c>
    </row>
    <row r="15" customFormat="false" ht="15" hidden="false" customHeight="true" outlineLevel="0" collapsed="false">
      <c r="A15" s="1" t="s">
        <v>52</v>
      </c>
      <c r="B15" s="15" t="n">
        <v>-995</v>
      </c>
      <c r="C15" s="15" t="n">
        <v>-1133</v>
      </c>
      <c r="D15" s="15" t="n">
        <v>-1979</v>
      </c>
      <c r="E15" s="15" t="n">
        <v>-2071</v>
      </c>
      <c r="F15" s="15" t="n">
        <v>-2776</v>
      </c>
      <c r="G15" s="1" t="s">
        <v>43</v>
      </c>
    </row>
    <row r="16" customFormat="false" ht="15" hidden="false" customHeight="true" outlineLevel="0" collapsed="false">
      <c r="A16" s="1" t="s">
        <v>53</v>
      </c>
      <c r="B16" s="19" t="n">
        <f aca="false">-B15/B10</f>
        <v>0.368109507954125</v>
      </c>
      <c r="C16" s="19" t="n">
        <f aca="false">-C15/C10</f>
        <v>0.422918999626726</v>
      </c>
      <c r="D16" s="19" t="n">
        <f aca="false">-D15/D10</f>
        <v>0.61212496133622</v>
      </c>
      <c r="E16" s="19" t="n">
        <f aca="false">-E15/E10</f>
        <v>0.516845520339406</v>
      </c>
      <c r="F16" s="19" t="n">
        <f aca="false">-F15/F10</f>
        <v>0.564227642276423</v>
      </c>
      <c r="G16" s="1" t="s">
        <v>48</v>
      </c>
    </row>
    <row r="17" customFormat="false" ht="15" hidden="false" customHeight="true" outlineLevel="0" collapsed="false">
      <c r="A17" s="1" t="s">
        <v>54</v>
      </c>
      <c r="B17" s="15" t="n">
        <v>-897</v>
      </c>
      <c r="C17" s="15" t="n">
        <v>-762</v>
      </c>
      <c r="D17" s="15" t="n">
        <v>-983</v>
      </c>
      <c r="E17" s="15" t="n">
        <v>-984</v>
      </c>
      <c r="F17" s="15" t="n">
        <v>-1115</v>
      </c>
      <c r="G17" s="1" t="s">
        <v>43</v>
      </c>
    </row>
    <row r="18" customFormat="false" ht="15" hidden="false" customHeight="true" outlineLevel="0" collapsed="false">
      <c r="A18" s="1" t="s">
        <v>55</v>
      </c>
      <c r="B18" s="19" t="n">
        <f aca="false">-B17/B10</f>
        <v>0.331853496115427</v>
      </c>
      <c r="C18" s="19" t="n">
        <f aca="false">-C17/C10</f>
        <v>0.284434490481523</v>
      </c>
      <c r="D18" s="19" t="n">
        <f aca="false">-D17/D10</f>
        <v>0.304051964120012</v>
      </c>
      <c r="E18" s="19" t="n">
        <f aca="false">-E17/E10</f>
        <v>0.245570252058897</v>
      </c>
      <c r="F18" s="19" t="n">
        <f aca="false">-F17/F10</f>
        <v>0.226626016260163</v>
      </c>
      <c r="G18" s="1" t="s">
        <v>48</v>
      </c>
    </row>
    <row r="19" customFormat="false" ht="15" hidden="false" customHeight="true" outlineLevel="0" collapsed="false">
      <c r="A19" s="1" t="s">
        <v>56</v>
      </c>
      <c r="B19" s="15" t="n">
        <v>-47</v>
      </c>
      <c r="C19" s="15" t="n">
        <v>-7</v>
      </c>
      <c r="D19" s="15" t="n">
        <v>-6</v>
      </c>
      <c r="E19" s="15" t="n">
        <v>0</v>
      </c>
      <c r="F19" s="15" t="n">
        <v>-8</v>
      </c>
      <c r="G19" s="1" t="s">
        <v>43</v>
      </c>
    </row>
    <row r="20" customFormat="false" ht="15" hidden="false" customHeight="true" outlineLevel="0" collapsed="false">
      <c r="A20" s="16" t="s">
        <v>57</v>
      </c>
      <c r="B20" s="17" t="n">
        <v>633</v>
      </c>
      <c r="C20" s="17" t="n">
        <v>671</v>
      </c>
      <c r="D20" s="17" t="n">
        <v>111</v>
      </c>
      <c r="E20" s="17" t="n">
        <v>831</v>
      </c>
      <c r="F20" s="17" t="n">
        <v>900</v>
      </c>
      <c r="G20" s="1" t="s">
        <v>43</v>
      </c>
    </row>
    <row r="21" customFormat="false" ht="15" hidden="false" customHeight="true" outlineLevel="0" collapsed="false">
      <c r="A21" s="1" t="s">
        <v>58</v>
      </c>
      <c r="B21" s="19" t="n">
        <f aca="false">B20/B10</f>
        <v>0.234184239733629</v>
      </c>
      <c r="C21" s="19" t="n">
        <f aca="false">C20/C10</f>
        <v>0.250466592011945</v>
      </c>
      <c r="D21" s="19" t="n">
        <f aca="false">D20/D10</f>
        <v>0.0343334364367461</v>
      </c>
      <c r="E21" s="19" t="n">
        <f aca="false">E20/E10</f>
        <v>0.20738707262291</v>
      </c>
      <c r="F21" s="19" t="n">
        <f aca="false">F20/F10</f>
        <v>0.182926829268293</v>
      </c>
      <c r="G21" s="1" t="s">
        <v>48</v>
      </c>
    </row>
    <row r="22" customFormat="false" ht="15" hidden="false" customHeight="true" outlineLevel="0" collapsed="false">
      <c r="A22" s="1" t="s">
        <v>59</v>
      </c>
      <c r="B22" s="15" t="n">
        <v>786</v>
      </c>
      <c r="C22" s="15" t="n">
        <v>671</v>
      </c>
      <c r="D22" s="15" t="n">
        <v>212</v>
      </c>
      <c r="E22" s="15" t="n">
        <v>720</v>
      </c>
      <c r="F22" s="15" t="n">
        <v>1157</v>
      </c>
      <c r="G22" s="1" t="s">
        <v>43</v>
      </c>
    </row>
    <row r="23" customFormat="false" ht="15" hidden="false" customHeight="true" outlineLevel="0" collapsed="false">
      <c r="A23" s="16" t="s">
        <v>60</v>
      </c>
      <c r="B23" s="17" t="n">
        <v>549</v>
      </c>
      <c r="C23" s="17" t="n">
        <v>524</v>
      </c>
      <c r="D23" s="17" t="n">
        <v>306</v>
      </c>
      <c r="E23" s="17" t="n">
        <v>792</v>
      </c>
      <c r="F23" s="17" t="n">
        <v>904</v>
      </c>
      <c r="G23" s="1" t="s">
        <v>43</v>
      </c>
    </row>
    <row r="24" customFormat="false" ht="15" hidden="false" customHeight="true" outlineLevel="0" collapsed="false">
      <c r="A24" s="1" t="s">
        <v>61</v>
      </c>
      <c r="B24" s="19" t="n">
        <f aca="false">B23/B10</f>
        <v>0.203107658157603</v>
      </c>
      <c r="C24" s="19" t="n">
        <f aca="false">C23/C10</f>
        <v>0.195595371407242</v>
      </c>
      <c r="D24" s="19" t="n">
        <f aca="false">D23/D10</f>
        <v>0.0946489328796783</v>
      </c>
      <c r="E24" s="19" t="n">
        <f aca="false">E23/E10</f>
        <v>0.197654105315698</v>
      </c>
      <c r="F24" s="19" t="n">
        <f aca="false">F23/F10</f>
        <v>0.183739837398374</v>
      </c>
      <c r="G24" s="1" t="s">
        <v>48</v>
      </c>
    </row>
    <row r="25" customFormat="false" ht="15" hidden="false" customHeight="true" outlineLevel="0" collapsed="false">
      <c r="A25" s="1" t="s">
        <v>62</v>
      </c>
      <c r="B25" s="20" t="n">
        <v>0.54</v>
      </c>
      <c r="C25" s="20" t="n">
        <v>0.51</v>
      </c>
      <c r="D25" s="20" t="n">
        <v>0.29</v>
      </c>
      <c r="E25" s="20" t="n">
        <v>0.75</v>
      </c>
      <c r="F25" s="20" t="n">
        <v>0.85</v>
      </c>
      <c r="G25" s="1" t="s">
        <v>43</v>
      </c>
    </row>
    <row r="26" customFormat="false" ht="15" hidden="false" customHeight="true" outlineLevel="0" collapsed="false">
      <c r="A26" s="1" t="s">
        <v>63</v>
      </c>
      <c r="B26" s="21" t="n">
        <v>1025</v>
      </c>
      <c r="C26" s="21" t="n">
        <v>1028</v>
      </c>
      <c r="D26" s="21" t="n">
        <v>1044</v>
      </c>
      <c r="E26" s="21" t="n">
        <v>1063</v>
      </c>
      <c r="F26" s="21" t="n">
        <v>1068</v>
      </c>
      <c r="G26" s="1" t="s">
        <v>43</v>
      </c>
    </row>
    <row r="27" customFormat="false" ht="15" hidden="false" customHeight="true" outlineLevel="0" collapsed="false">
      <c r="B27" s="15"/>
      <c r="C27" s="15"/>
      <c r="D27" s="15"/>
      <c r="E27" s="15"/>
      <c r="F27" s="15"/>
    </row>
    <row r="28" customFormat="false" ht="15" hidden="false" customHeight="true" outlineLevel="0" collapsed="false">
      <c r="B28" s="15"/>
      <c r="C28" s="15"/>
      <c r="D28" s="15"/>
      <c r="E28" s="15"/>
      <c r="F28" s="15"/>
    </row>
    <row r="29" customFormat="false" ht="15" hidden="false" customHeight="true" outlineLevel="0" collapsed="false">
      <c r="A29" s="14" t="s">
        <v>64</v>
      </c>
      <c r="B29" s="14"/>
      <c r="C29" s="14"/>
      <c r="D29" s="14"/>
      <c r="E29" s="14"/>
      <c r="F29" s="14"/>
      <c r="G29" s="14"/>
    </row>
    <row r="30" customFormat="false" ht="15" hidden="false" customHeight="true" outlineLevel="0" collapsed="false">
      <c r="A30" s="1" t="s">
        <v>65</v>
      </c>
      <c r="B30" s="15" t="n">
        <v>458</v>
      </c>
      <c r="C30" s="15" t="n">
        <v>739</v>
      </c>
      <c r="D30" s="15" t="n">
        <v>1090</v>
      </c>
      <c r="E30" s="15" t="n">
        <v>397</v>
      </c>
      <c r="F30" s="15" t="n">
        <v>1524</v>
      </c>
      <c r="G30" s="1" t="s">
        <v>43</v>
      </c>
    </row>
    <row r="31" customFormat="false" ht="15" hidden="false" customHeight="true" outlineLevel="0" collapsed="false">
      <c r="A31" s="1" t="s">
        <v>66</v>
      </c>
      <c r="B31" s="15" t="n">
        <v>-34</v>
      </c>
      <c r="C31" s="15" t="n">
        <v>-64</v>
      </c>
      <c r="D31" s="15" t="n">
        <v>-92</v>
      </c>
      <c r="E31" s="15" t="n">
        <v>-219</v>
      </c>
      <c r="F31" s="15" t="n">
        <v>-545</v>
      </c>
      <c r="G31" s="1" t="s">
        <v>43</v>
      </c>
    </row>
    <row r="32" customFormat="false" ht="15" hidden="false" customHeight="true" outlineLevel="0" collapsed="false">
      <c r="A32" s="16" t="s">
        <v>67</v>
      </c>
      <c r="B32" s="22" t="n">
        <f aca="false">B30+B31</f>
        <v>424</v>
      </c>
      <c r="C32" s="22" t="n">
        <f aca="false">C30+C31</f>
        <v>675</v>
      </c>
      <c r="D32" s="22" t="n">
        <f aca="false">D30+D31</f>
        <v>998</v>
      </c>
      <c r="E32" s="22" t="n">
        <f aca="false">E30+E31</f>
        <v>178</v>
      </c>
      <c r="F32" s="22" t="n">
        <f aca="false">F30+F31</f>
        <v>979</v>
      </c>
      <c r="G32" s="1" t="s">
        <v>48</v>
      </c>
    </row>
    <row r="33" customFormat="false" ht="15" hidden="false" customHeight="true" outlineLevel="0" collapsed="false">
      <c r="A33" s="1" t="s">
        <v>68</v>
      </c>
      <c r="B33" s="15" t="n">
        <v>1004</v>
      </c>
      <c r="C33" s="15" t="n">
        <v>1554</v>
      </c>
      <c r="D33" s="15" t="n">
        <v>1923</v>
      </c>
      <c r="E33" s="15" t="n">
        <v>2085</v>
      </c>
      <c r="F33" s="15" t="n">
        <v>2751</v>
      </c>
      <c r="G33" s="1" t="s">
        <v>43</v>
      </c>
    </row>
  </sheetData>
  <mergeCells count="4">
    <mergeCell ref="A1:G2"/>
    <mergeCell ref="A3:G3"/>
    <mergeCell ref="A7:G7"/>
    <mergeCell ref="A29:G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6" min="2" style="1" width="14"/>
    <col collapsed="false" customWidth="true" hidden="false" outlineLevel="0" max="8" min="8" style="1" width="18"/>
    <col collapsed="false" customWidth="true" hidden="false" outlineLevel="0" max="13" min="9" style="1" width="12"/>
  </cols>
  <sheetData>
    <row r="1" customFormat="false" ht="15" hidden="false" customHeight="true" outlineLevel="0" collapsed="false">
      <c r="A1" s="23" t="s">
        <v>69</v>
      </c>
      <c r="B1" s="23"/>
      <c r="C1" s="23"/>
      <c r="D1" s="23"/>
      <c r="E1" s="23"/>
      <c r="F1" s="23"/>
    </row>
    <row r="2" customFormat="false" ht="15" hidden="false" customHeight="true" outlineLevel="0" collapsed="false">
      <c r="A2" s="23"/>
      <c r="B2" s="23"/>
      <c r="C2" s="23"/>
      <c r="D2" s="23"/>
      <c r="E2" s="23"/>
      <c r="F2" s="23"/>
    </row>
    <row r="3" customFormat="false" ht="15" hidden="false" customHeight="true" outlineLevel="0" collapsed="false">
      <c r="A3" s="11" t="s">
        <v>70</v>
      </c>
      <c r="B3" s="11"/>
      <c r="C3" s="11"/>
      <c r="D3" s="11"/>
      <c r="E3" s="11"/>
      <c r="F3" s="11"/>
    </row>
    <row r="4" customFormat="false" ht="15" hidden="false" customHeight="true" outlineLevel="0" collapsed="false">
      <c r="H4" s="24" t="s">
        <v>71</v>
      </c>
      <c r="I4" s="24" t="s">
        <v>35</v>
      </c>
      <c r="J4" s="24" t="s">
        <v>36</v>
      </c>
      <c r="K4" s="24" t="s">
        <v>37</v>
      </c>
      <c r="L4" s="24" t="s">
        <v>38</v>
      </c>
      <c r="M4" s="24" t="s">
        <v>39</v>
      </c>
    </row>
    <row r="5" customFormat="false" ht="15" hidden="false" customHeight="true" outlineLevel="0" collapsed="false">
      <c r="A5" s="12"/>
      <c r="B5" s="13" t="s">
        <v>35</v>
      </c>
      <c r="C5" s="13" t="s">
        <v>36</v>
      </c>
      <c r="D5" s="13" t="s">
        <v>37</v>
      </c>
      <c r="E5" s="13" t="s">
        <v>38</v>
      </c>
      <c r="F5" s="13" t="s">
        <v>39</v>
      </c>
      <c r="H5" s="1" t="s">
        <v>72</v>
      </c>
      <c r="I5" s="25" t="n">
        <v>1141</v>
      </c>
      <c r="J5" s="25" t="n">
        <v>1004</v>
      </c>
      <c r="K5" s="25" t="n">
        <v>1431</v>
      </c>
      <c r="L5" s="25" t="n">
        <v>1839</v>
      </c>
      <c r="M5" s="25" t="n">
        <v>2307</v>
      </c>
    </row>
    <row r="6" customFormat="false" ht="15" hidden="false" customHeight="true" outlineLevel="0" collapsed="false">
      <c r="H6" s="1" t="s">
        <v>73</v>
      </c>
      <c r="I6" s="25" t="n">
        <v>1562</v>
      </c>
      <c r="J6" s="25" t="n">
        <v>1675</v>
      </c>
      <c r="K6" s="25" t="n">
        <v>1802</v>
      </c>
      <c r="L6" s="25" t="n">
        <v>2168</v>
      </c>
      <c r="M6" s="25" t="n">
        <v>2613</v>
      </c>
    </row>
    <row r="7" customFormat="false" ht="15" hidden="false" customHeight="true" outlineLevel="0" collapsed="false">
      <c r="A7" s="14" t="s">
        <v>74</v>
      </c>
      <c r="B7" s="14"/>
      <c r="C7" s="14"/>
      <c r="D7" s="14"/>
      <c r="E7" s="14"/>
      <c r="F7" s="14"/>
    </row>
    <row r="8" customFormat="false" ht="15" hidden="false" customHeight="true" outlineLevel="0" collapsed="false">
      <c r="A8" s="1" t="s">
        <v>42</v>
      </c>
      <c r="B8" s="15" t="n">
        <v>1141</v>
      </c>
      <c r="C8" s="15" t="n">
        <v>1004</v>
      </c>
      <c r="D8" s="15" t="n">
        <v>1431</v>
      </c>
      <c r="E8" s="15" t="n">
        <v>1839</v>
      </c>
      <c r="F8" s="15" t="n">
        <v>2307</v>
      </c>
    </row>
    <row r="9" customFormat="false" ht="15" hidden="false" customHeight="true" outlineLevel="0" collapsed="false">
      <c r="A9" s="1" t="s">
        <v>75</v>
      </c>
      <c r="B9" s="19" t="n">
        <f aca="false">B8/B12</f>
        <v>0.422123566407695</v>
      </c>
      <c r="C9" s="19" t="n">
        <f aca="false">C8/C12</f>
        <v>0.374766703994028</v>
      </c>
      <c r="D9" s="19" t="n">
        <f aca="false">D8/D12</f>
        <v>0.442622950819672</v>
      </c>
      <c r="E9" s="19" t="n">
        <f aca="false">E8/E12</f>
        <v>0.458946843024707</v>
      </c>
      <c r="F9" s="19" t="n">
        <f aca="false">F8/F12</f>
        <v>0.46890243902439</v>
      </c>
    </row>
    <row r="10" customFormat="false" ht="15" hidden="false" customHeight="true" outlineLevel="0" collapsed="false">
      <c r="A10" s="1" t="s">
        <v>44</v>
      </c>
      <c r="B10" s="26" t="n">
        <v>1562</v>
      </c>
      <c r="C10" s="26" t="n">
        <v>1675</v>
      </c>
      <c r="D10" s="26" t="n">
        <v>1802</v>
      </c>
      <c r="E10" s="26" t="n">
        <v>2168</v>
      </c>
      <c r="F10" s="26" t="n">
        <v>2613</v>
      </c>
    </row>
    <row r="11" customFormat="false" ht="15" hidden="false" customHeight="true" outlineLevel="0" collapsed="false">
      <c r="A11" s="1" t="s">
        <v>76</v>
      </c>
      <c r="B11" s="19" t="n">
        <f aca="false">B10/B12</f>
        <v>0.577876433592305</v>
      </c>
      <c r="C11" s="19" t="n">
        <f aca="false">C10/C12</f>
        <v>0.625233296005972</v>
      </c>
      <c r="D11" s="19" t="n">
        <f aca="false">D10/D12</f>
        <v>0.557377049180328</v>
      </c>
      <c r="E11" s="19" t="n">
        <f aca="false">E10/E12</f>
        <v>0.541053156975293</v>
      </c>
      <c r="F11" s="19" t="n">
        <f aca="false">F10/F12</f>
        <v>0.53109756097561</v>
      </c>
    </row>
    <row r="12" customFormat="false" ht="15" hidden="false" customHeight="true" outlineLevel="0" collapsed="false">
      <c r="A12" s="1" t="s">
        <v>45</v>
      </c>
      <c r="B12" s="15" t="n">
        <v>2703</v>
      </c>
      <c r="C12" s="15" t="n">
        <v>2679</v>
      </c>
      <c r="D12" s="15" t="n">
        <v>3233</v>
      </c>
      <c r="E12" s="15" t="n">
        <v>4007</v>
      </c>
      <c r="F12" s="15" t="n">
        <v>4920</v>
      </c>
    </row>
    <row r="13" customFormat="false" ht="15" hidden="false" customHeight="true" outlineLevel="0" collapsed="false">
      <c r="A13" s="1" t="s">
        <v>77</v>
      </c>
      <c r="B13" s="27" t="n">
        <f aca="false">B10/B8</f>
        <v>1.36897458369851</v>
      </c>
      <c r="C13" s="27" t="n">
        <f aca="false">C10/C8</f>
        <v>1.66832669322709</v>
      </c>
      <c r="D13" s="27" t="n">
        <f aca="false">D10/D8</f>
        <v>1.25925925925926</v>
      </c>
      <c r="E13" s="27" t="n">
        <f aca="false">E10/E8</f>
        <v>1.17890157694399</v>
      </c>
      <c r="F13" s="27" t="n">
        <f aca="false">F10/F8</f>
        <v>1.13263979193758</v>
      </c>
    </row>
    <row r="16" customFormat="false" ht="15" hidden="false" customHeight="true" outlineLevel="0" collapsed="false">
      <c r="A16" s="14" t="s">
        <v>78</v>
      </c>
      <c r="B16" s="14"/>
      <c r="C16" s="14"/>
      <c r="D16" s="14"/>
      <c r="E16" s="14"/>
      <c r="F16" s="14"/>
    </row>
    <row r="17" customFormat="false" ht="15" hidden="false" customHeight="true" outlineLevel="0" collapsed="false">
      <c r="A17" s="1" t="s">
        <v>51</v>
      </c>
      <c r="B17" s="28" t="n">
        <f aca="false">'Historical Financials'!B14</f>
        <v>0.951535331113578</v>
      </c>
      <c r="C17" s="28" t="n">
        <f aca="false">'Historical Financials'!C14</f>
        <v>0.960432997387085</v>
      </c>
      <c r="D17" s="28" t="n">
        <f aca="false">'Historical Financials'!D14</f>
        <v>0.952366223321992</v>
      </c>
      <c r="E17" s="28" t="n">
        <f aca="false">'Historical Financials'!E14</f>
        <v>0.969802845021213</v>
      </c>
      <c r="F17" s="28" t="n">
        <f aca="false">'Historical Financials'!F14</f>
        <v>0.975406504065041</v>
      </c>
    </row>
    <row r="18" customFormat="false" ht="15" hidden="false" customHeight="true" outlineLevel="0" collapsed="false">
      <c r="A18" s="1" t="s">
        <v>58</v>
      </c>
      <c r="B18" s="28" t="n">
        <f aca="false">'Historical Financials'!B21</f>
        <v>0.234184239733629</v>
      </c>
      <c r="C18" s="28" t="n">
        <f aca="false">'Historical Financials'!C21</f>
        <v>0.250466592011945</v>
      </c>
      <c r="D18" s="28" t="n">
        <f aca="false">'Historical Financials'!D21</f>
        <v>0.0343334364367461</v>
      </c>
      <c r="E18" s="28" t="n">
        <f aca="false">'Historical Financials'!E21</f>
        <v>0.20738707262291</v>
      </c>
      <c r="F18" s="28" t="n">
        <f aca="false">'Historical Financials'!F21</f>
        <v>0.182926829268293</v>
      </c>
    </row>
    <row r="19" customFormat="false" ht="15" hidden="false" customHeight="true" outlineLevel="0" collapsed="false">
      <c r="A19" s="1" t="s">
        <v>61</v>
      </c>
      <c r="B19" s="28" t="n">
        <f aca="false">'Historical Financials'!B24</f>
        <v>0.203107658157603</v>
      </c>
      <c r="C19" s="28" t="n">
        <f aca="false">'Historical Financials'!C24</f>
        <v>0.195595371407242</v>
      </c>
      <c r="D19" s="28" t="n">
        <f aca="false">'Historical Financials'!D24</f>
        <v>0.0946489328796783</v>
      </c>
      <c r="E19" s="28" t="n">
        <f aca="false">'Historical Financials'!E24</f>
        <v>0.197654105315698</v>
      </c>
      <c r="F19" s="28" t="n">
        <f aca="false">'Historical Financials'!F24</f>
        <v>0.183739837398374</v>
      </c>
    </row>
    <row r="20" customFormat="false" ht="15" hidden="false" customHeight="true" outlineLevel="0" collapsed="false">
      <c r="A20" s="1" t="s">
        <v>53</v>
      </c>
      <c r="B20" s="28" t="n">
        <f aca="false">'Historical Financials'!B16</f>
        <v>0.368109507954125</v>
      </c>
      <c r="C20" s="28" t="n">
        <f aca="false">'Historical Financials'!C16</f>
        <v>0.422918999626726</v>
      </c>
      <c r="D20" s="28" t="n">
        <f aca="false">'Historical Financials'!D16</f>
        <v>0.61212496133622</v>
      </c>
      <c r="E20" s="28" t="n">
        <f aca="false">'Historical Financials'!E16</f>
        <v>0.516845520339406</v>
      </c>
      <c r="F20" s="28" t="n">
        <f aca="false">'Historical Financials'!F16</f>
        <v>0.564227642276423</v>
      </c>
    </row>
    <row r="21" customFormat="false" ht="15" hidden="false" customHeight="true" outlineLevel="0" collapsed="false">
      <c r="A21" s="1" t="s">
        <v>79</v>
      </c>
      <c r="B21" s="28" t="n">
        <f aca="false">'Historical Financials'!B32/'Historical Financials'!B10</f>
        <v>0.156862745098039</v>
      </c>
      <c r="C21" s="28" t="n">
        <f aca="false">'Historical Financials'!C32/'Historical Financials'!C10</f>
        <v>0.251959686450168</v>
      </c>
      <c r="D21" s="28" t="n">
        <f aca="false">'Historical Financials'!D32/'Historical Financials'!D10</f>
        <v>0.308691617692546</v>
      </c>
      <c r="E21" s="28" t="n">
        <f aca="false">'Historical Financials'!E32/'Historical Financials'!E10</f>
        <v>0.0444222610431745</v>
      </c>
      <c r="F21" s="28" t="n">
        <f aca="false">'Historical Financials'!F32/'Historical Financials'!F10</f>
        <v>0.198983739837398</v>
      </c>
    </row>
    <row r="22" customFormat="false" ht="15" hidden="false" customHeight="true" outlineLevel="0" collapsed="false">
      <c r="A22" s="1" t="s">
        <v>62</v>
      </c>
      <c r="B22" s="20" t="n">
        <v>0.54</v>
      </c>
      <c r="C22" s="20" t="n">
        <v>0.51</v>
      </c>
      <c r="D22" s="20" t="n">
        <v>0.29</v>
      </c>
      <c r="E22" s="20" t="n">
        <v>0.75</v>
      </c>
      <c r="F22" s="20" t="n">
        <v>0.85</v>
      </c>
    </row>
  </sheetData>
  <mergeCells count="4">
    <mergeCell ref="A1:F2"/>
    <mergeCell ref="A3:F3"/>
    <mergeCell ref="A7:F7"/>
    <mergeCell ref="A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5" min="2" style="1" width="15"/>
  </cols>
  <sheetData>
    <row r="1" customFormat="false" ht="15" hidden="false" customHeight="true" outlineLevel="0" collapsed="false">
      <c r="A1" s="23" t="s">
        <v>80</v>
      </c>
      <c r="B1" s="23"/>
      <c r="C1" s="23"/>
      <c r="D1" s="23"/>
      <c r="E1" s="23"/>
    </row>
    <row r="2" customFormat="false" ht="15" hidden="false" customHeight="true" outlineLevel="0" collapsed="false">
      <c r="A2" s="23"/>
      <c r="B2" s="23"/>
      <c r="C2" s="23"/>
      <c r="D2" s="23"/>
      <c r="E2" s="23"/>
    </row>
    <row r="3" customFormat="false" ht="15" hidden="false" customHeight="true" outlineLevel="0" collapsed="false">
      <c r="A3" s="11" t="s">
        <v>81</v>
      </c>
      <c r="B3" s="11"/>
      <c r="C3" s="11"/>
      <c r="D3" s="11"/>
      <c r="E3" s="11"/>
    </row>
    <row r="5" customFormat="false" ht="15" hidden="false" customHeight="true" outlineLevel="0" collapsed="false">
      <c r="A5" s="12"/>
      <c r="B5" s="13" t="s">
        <v>36</v>
      </c>
      <c r="C5" s="13" t="s">
        <v>37</v>
      </c>
      <c r="D5" s="13" t="s">
        <v>38</v>
      </c>
      <c r="E5" s="13" t="s">
        <v>39</v>
      </c>
    </row>
    <row r="7" customFormat="false" ht="15" hidden="false" customHeight="true" outlineLevel="0" collapsed="false">
      <c r="A7" s="14" t="s">
        <v>82</v>
      </c>
      <c r="B7" s="14"/>
      <c r="C7" s="14"/>
      <c r="D7" s="14"/>
      <c r="E7" s="14"/>
    </row>
    <row r="8" customFormat="false" ht="15" hidden="false" customHeight="true" outlineLevel="0" collapsed="false">
      <c r="A8" s="1" t="s">
        <v>83</v>
      </c>
      <c r="B8" s="15" t="n">
        <v>1554</v>
      </c>
      <c r="C8" s="15" t="n">
        <v>1923</v>
      </c>
      <c r="D8" s="15" t="n">
        <v>2085</v>
      </c>
      <c r="E8" s="15" t="n">
        <v>2751</v>
      </c>
    </row>
    <row r="9" customFormat="false" ht="15" hidden="false" customHeight="true" outlineLevel="0" collapsed="false">
      <c r="A9" s="1" t="s">
        <v>84</v>
      </c>
      <c r="B9" s="15" t="n">
        <v>661</v>
      </c>
      <c r="C9" s="15" t="n">
        <v>1000</v>
      </c>
      <c r="D9" s="15" t="n">
        <v>740</v>
      </c>
      <c r="E9" s="15" t="n">
        <v>850</v>
      </c>
    </row>
    <row r="10" customFormat="false" ht="15" hidden="false" customHeight="true" outlineLevel="0" collapsed="false">
      <c r="A10" s="1" t="s">
        <v>85</v>
      </c>
      <c r="B10" s="15" t="n">
        <v>999</v>
      </c>
      <c r="C10" s="15" t="n">
        <v>781</v>
      </c>
      <c r="D10" s="15" t="n">
        <v>1107</v>
      </c>
      <c r="E10" s="15" t="n">
        <v>1300</v>
      </c>
    </row>
    <row r="11" customFormat="false" ht="15" hidden="false" customHeight="true" outlineLevel="0" collapsed="false">
      <c r="A11" s="1" t="s">
        <v>86</v>
      </c>
      <c r="B11" s="15" t="n">
        <v>154</v>
      </c>
      <c r="C11" s="15" t="n">
        <v>336</v>
      </c>
      <c r="D11" s="15" t="n">
        <v>642</v>
      </c>
      <c r="E11" s="15" t="n">
        <v>977</v>
      </c>
    </row>
    <row r="12" customFormat="false" ht="15" hidden="false" customHeight="true" outlineLevel="0" collapsed="false">
      <c r="A12" s="29" t="s">
        <v>87</v>
      </c>
      <c r="B12" s="30" t="n">
        <v>3537</v>
      </c>
      <c r="C12" s="30" t="n">
        <v>4197</v>
      </c>
      <c r="D12" s="30" t="n">
        <v>4830</v>
      </c>
      <c r="E12" s="30" t="n">
        <v>6236</v>
      </c>
    </row>
    <row r="13" customFormat="false" ht="15" hidden="false" customHeight="true" outlineLevel="0" collapsed="false">
      <c r="A13" s="1" t="s">
        <v>88</v>
      </c>
      <c r="B13" s="15" t="n">
        <v>185</v>
      </c>
      <c r="C13" s="15" t="n">
        <v>215</v>
      </c>
      <c r="D13" s="15" t="n">
        <v>394</v>
      </c>
      <c r="E13" s="15" t="n">
        <v>772</v>
      </c>
    </row>
    <row r="14" customFormat="false" ht="15" hidden="false" customHeight="true" outlineLevel="0" collapsed="false">
      <c r="A14" s="29" t="s">
        <v>89</v>
      </c>
      <c r="B14" s="30" t="n">
        <v>6866</v>
      </c>
      <c r="C14" s="30" t="n">
        <v>7927</v>
      </c>
      <c r="D14" s="30" t="n">
        <v>8932</v>
      </c>
      <c r="E14" s="30" t="n">
        <v>10703</v>
      </c>
    </row>
    <row r="15" customFormat="false" ht="15" hidden="false" customHeight="true" outlineLevel="0" collapsed="false">
      <c r="A15" s="1" t="s">
        <v>90</v>
      </c>
      <c r="B15" s="15" t="n">
        <v>1363</v>
      </c>
      <c r="C15" s="15" t="n">
        <v>1505</v>
      </c>
      <c r="D15" s="15" t="n">
        <v>929</v>
      </c>
      <c r="E15" s="15" t="n">
        <v>1040</v>
      </c>
    </row>
    <row r="16" customFormat="false" ht="15" hidden="false" customHeight="true" outlineLevel="0" collapsed="false">
      <c r="A16" s="29" t="s">
        <v>91</v>
      </c>
      <c r="B16" s="30" t="n">
        <v>2815</v>
      </c>
      <c r="C16" s="30" t="n">
        <v>2632</v>
      </c>
      <c r="D16" s="30" t="n">
        <v>2093</v>
      </c>
      <c r="E16" s="30" t="n">
        <v>2417</v>
      </c>
    </row>
    <row r="17" customFormat="false" ht="15" hidden="false" customHeight="true" outlineLevel="0" collapsed="false">
      <c r="A17" s="29" t="s">
        <v>92</v>
      </c>
      <c r="B17" s="30" t="n">
        <v>4051</v>
      </c>
      <c r="C17" s="30" t="n">
        <v>5295</v>
      </c>
      <c r="D17" s="30" t="n">
        <v>6839</v>
      </c>
      <c r="E17" s="30" t="n">
        <v>8286</v>
      </c>
    </row>
    <row r="18" customFormat="false" ht="15" hidden="false" customHeight="true" outlineLevel="0" collapsed="false">
      <c r="A18" s="29" t="s">
        <v>93</v>
      </c>
      <c r="B18" s="31" t="n">
        <f aca="false">B8+B9</f>
        <v>2215</v>
      </c>
      <c r="C18" s="31" t="n">
        <f aca="false">C8+C9</f>
        <v>2923</v>
      </c>
      <c r="D18" s="31" t="n">
        <f aca="false">D8+D9</f>
        <v>2825</v>
      </c>
      <c r="E18" s="31" t="n">
        <f aca="false">E8+E9</f>
        <v>3601</v>
      </c>
    </row>
    <row r="19" customFormat="false" ht="15" hidden="false" customHeight="true" outlineLevel="0" collapsed="false">
      <c r="A19" s="1" t="s">
        <v>94</v>
      </c>
      <c r="B19" s="27" t="n">
        <f aca="false">B12/B15</f>
        <v>2.59501100513573</v>
      </c>
      <c r="C19" s="27" t="n">
        <f aca="false">C12/C15</f>
        <v>2.78870431893688</v>
      </c>
      <c r="D19" s="27" t="n">
        <f aca="false">D12/D15</f>
        <v>5.19913885898816</v>
      </c>
      <c r="E19" s="27" t="n">
        <f aca="false">E12/E15</f>
        <v>5.99615384615385</v>
      </c>
    </row>
  </sheetData>
  <mergeCells count="3">
    <mergeCell ref="A1:E2"/>
    <mergeCell ref="A3:E3"/>
    <mergeCell ref="A7:E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18"/>
    <col collapsed="false" customWidth="true" hidden="false" outlineLevel="0" max="4" min="4" style="1" width="70"/>
    <col collapsed="false" customWidth="true" hidden="false" outlineLevel="0" max="5" min="5" style="1" width="52"/>
  </cols>
  <sheetData>
    <row r="1" customFormat="false" ht="15" hidden="false" customHeight="true" outlineLevel="0" collapsed="false">
      <c r="A1" s="23" t="s">
        <v>95</v>
      </c>
      <c r="B1" s="23"/>
      <c r="C1" s="23"/>
      <c r="D1" s="23"/>
      <c r="E1" s="23"/>
    </row>
    <row r="2" customFormat="false" ht="15" hidden="false" customHeight="true" outlineLevel="0" collapsed="false">
      <c r="A2" s="23"/>
      <c r="B2" s="23"/>
      <c r="C2" s="23"/>
      <c r="D2" s="23"/>
      <c r="E2" s="23"/>
    </row>
    <row r="4" customFormat="false" ht="15" hidden="false" customHeight="true" outlineLevel="0" collapsed="false">
      <c r="A4" s="32" t="s">
        <v>96</v>
      </c>
      <c r="B4" s="32" t="s">
        <v>97</v>
      </c>
      <c r="C4" s="32" t="s">
        <v>98</v>
      </c>
      <c r="D4" s="32" t="s">
        <v>99</v>
      </c>
      <c r="E4" s="32" t="s">
        <v>100</v>
      </c>
    </row>
    <row r="5" customFormat="false" ht="27.75" hidden="false" customHeight="true" outlineLevel="0" collapsed="false">
      <c r="A5" s="6" t="s">
        <v>101</v>
      </c>
      <c r="B5" s="3" t="s">
        <v>102</v>
      </c>
      <c r="C5" s="3" t="s">
        <v>103</v>
      </c>
      <c r="D5" s="3" t="s">
        <v>104</v>
      </c>
      <c r="E5" s="3" t="s">
        <v>105</v>
      </c>
    </row>
    <row r="6" customFormat="false" ht="27.75" hidden="false" customHeight="true" outlineLevel="0" collapsed="false">
      <c r="A6" s="6" t="s">
        <v>106</v>
      </c>
      <c r="B6" s="3" t="s">
        <v>107</v>
      </c>
      <c r="C6" s="3" t="s">
        <v>108</v>
      </c>
      <c r="D6" s="3" t="s">
        <v>109</v>
      </c>
      <c r="E6" s="3" t="s">
        <v>110</v>
      </c>
    </row>
    <row r="7" customFormat="false" ht="27.75" hidden="false" customHeight="true" outlineLevel="0" collapsed="false">
      <c r="A7" s="6" t="s">
        <v>111</v>
      </c>
      <c r="B7" s="3" t="s">
        <v>112</v>
      </c>
      <c r="C7" s="3" t="s">
        <v>113</v>
      </c>
      <c r="D7" s="3" t="s">
        <v>114</v>
      </c>
      <c r="E7" s="3" t="s">
        <v>115</v>
      </c>
    </row>
    <row r="8" customFormat="false" ht="27.75" hidden="false" customHeight="true" outlineLevel="0" collapsed="false">
      <c r="A8" s="6" t="s">
        <v>116</v>
      </c>
      <c r="B8" s="3" t="s">
        <v>117</v>
      </c>
      <c r="C8" s="3" t="s">
        <v>118</v>
      </c>
      <c r="D8" s="3" t="s">
        <v>119</v>
      </c>
      <c r="E8" s="3" t="s">
        <v>120</v>
      </c>
    </row>
    <row r="9" customFormat="false" ht="15" hidden="false" customHeight="true" outlineLevel="0" collapsed="false">
      <c r="A9" s="1" t="s">
        <v>121</v>
      </c>
      <c r="B9" s="1" t="s">
        <v>122</v>
      </c>
      <c r="C9" s="1" t="s">
        <v>123</v>
      </c>
      <c r="D9" s="1" t="s">
        <v>124</v>
      </c>
      <c r="E9" s="1" t="s">
        <v>125</v>
      </c>
    </row>
    <row r="10" customFormat="false" ht="15" hidden="false" customHeight="true" outlineLevel="0" collapsed="false">
      <c r="A10" s="1" t="s">
        <v>126</v>
      </c>
      <c r="B10" s="1" t="s">
        <v>127</v>
      </c>
      <c r="C10" s="1" t="s">
        <v>128</v>
      </c>
      <c r="D10" s="1" t="s">
        <v>124</v>
      </c>
      <c r="E10" s="1" t="s">
        <v>129</v>
      </c>
    </row>
    <row r="11" customFormat="false" ht="27.75" hidden="false" customHeight="true" outlineLevel="0" collapsed="false">
      <c r="A11" s="3" t="s">
        <v>130</v>
      </c>
      <c r="B11" s="3" t="s">
        <v>131</v>
      </c>
      <c r="C11" s="3" t="s">
        <v>132</v>
      </c>
      <c r="D11" s="3" t="s">
        <v>133</v>
      </c>
      <c r="E11" s="3" t="s">
        <v>134</v>
      </c>
    </row>
    <row r="12" customFormat="false" ht="27.75" hidden="false" customHeight="true" outlineLevel="0" collapsed="false">
      <c r="A12" s="3" t="s">
        <v>135</v>
      </c>
      <c r="B12" s="3" t="s">
        <v>136</v>
      </c>
      <c r="C12" s="3" t="s">
        <v>137</v>
      </c>
      <c r="D12" s="3" t="s">
        <v>138</v>
      </c>
      <c r="E12" s="3" t="s">
        <v>139</v>
      </c>
    </row>
    <row r="13" customFormat="false" ht="27.75" hidden="false" customHeight="true" outlineLevel="0" collapsed="false">
      <c r="A13" s="3" t="s">
        <v>140</v>
      </c>
      <c r="B13" s="3" t="s">
        <v>141</v>
      </c>
      <c r="C13" s="3" t="s">
        <v>142</v>
      </c>
      <c r="D13" s="3" t="s">
        <v>143</v>
      </c>
      <c r="E13" s="3" t="s">
        <v>144</v>
      </c>
    </row>
    <row r="14" customFormat="false" ht="27.75" hidden="false" customHeight="true" outlineLevel="0" collapsed="false">
      <c r="A14" s="3" t="s">
        <v>145</v>
      </c>
      <c r="B14" s="3" t="s">
        <v>146</v>
      </c>
      <c r="C14" s="3" t="s">
        <v>147</v>
      </c>
      <c r="D14" s="3" t="s">
        <v>148</v>
      </c>
      <c r="E14" s="3" t="s">
        <v>149</v>
      </c>
    </row>
    <row r="15" customFormat="false" ht="27.75" hidden="false" customHeight="true" outlineLevel="0" collapsed="false">
      <c r="A15" s="3" t="s">
        <v>150</v>
      </c>
      <c r="B15" s="3" t="s">
        <v>151</v>
      </c>
      <c r="C15" s="3" t="s">
        <v>152</v>
      </c>
      <c r="D15" s="3" t="s">
        <v>153</v>
      </c>
      <c r="E15" s="3" t="s">
        <v>154</v>
      </c>
    </row>
    <row r="16" customFormat="false" ht="27.75" hidden="false" customHeight="true" outlineLevel="0" collapsed="false">
      <c r="A16" s="3" t="s">
        <v>155</v>
      </c>
      <c r="B16" s="3" t="s">
        <v>156</v>
      </c>
      <c r="C16" s="3" t="s">
        <v>157</v>
      </c>
      <c r="D16" s="3" t="s">
        <v>158</v>
      </c>
      <c r="E16" s="3" t="s">
        <v>159</v>
      </c>
    </row>
    <row r="17" customFormat="false" ht="27.75" hidden="false" customHeight="true" outlineLevel="0" collapsed="false">
      <c r="A17" s="3" t="s">
        <v>160</v>
      </c>
      <c r="B17" s="3" t="s">
        <v>161</v>
      </c>
      <c r="C17" s="3" t="s">
        <v>147</v>
      </c>
      <c r="D17" s="3" t="s">
        <v>162</v>
      </c>
      <c r="E17" s="3" t="s">
        <v>163</v>
      </c>
    </row>
    <row r="18" customFormat="false" ht="27.75" hidden="false" customHeight="true" outlineLevel="0" collapsed="false">
      <c r="A18" s="3" t="s">
        <v>164</v>
      </c>
      <c r="B18" s="3" t="s">
        <v>165</v>
      </c>
      <c r="C18" s="3" t="s">
        <v>166</v>
      </c>
      <c r="D18" s="3" t="s">
        <v>104</v>
      </c>
      <c r="E18" s="3" t="s">
        <v>167</v>
      </c>
    </row>
    <row r="19" customFormat="false" ht="27.75" hidden="false" customHeight="true" outlineLevel="0" collapsed="false">
      <c r="A19" s="3" t="s">
        <v>168</v>
      </c>
      <c r="B19" s="3" t="s">
        <v>169</v>
      </c>
      <c r="C19" s="3" t="s">
        <v>170</v>
      </c>
      <c r="D19" s="3" t="s">
        <v>171</v>
      </c>
      <c r="E19" s="3" t="s">
        <v>172</v>
      </c>
    </row>
    <row r="20" customFormat="false" ht="15" hidden="false" customHeight="true" outlineLevel="0" collapsed="false">
      <c r="A20" s="3" t="s">
        <v>173</v>
      </c>
      <c r="B20" s="3" t="s">
        <v>174</v>
      </c>
      <c r="C20" s="3" t="s">
        <v>175</v>
      </c>
      <c r="D20" s="3" t="s">
        <v>176</v>
      </c>
      <c r="E20" s="3" t="s">
        <v>177</v>
      </c>
    </row>
    <row r="21" customFormat="false" ht="27.75" hidden="false" customHeight="true" outlineLevel="0" collapsed="false">
      <c r="A21" s="3" t="s">
        <v>178</v>
      </c>
      <c r="B21" s="3" t="s">
        <v>179</v>
      </c>
      <c r="C21" s="3" t="s">
        <v>180</v>
      </c>
      <c r="D21" s="3" t="s">
        <v>181</v>
      </c>
      <c r="E21" s="3" t="s">
        <v>182</v>
      </c>
    </row>
    <row r="22" customFormat="false" ht="27.75" hidden="false" customHeight="true" outlineLevel="0" collapsed="false">
      <c r="A22" s="3" t="s">
        <v>183</v>
      </c>
      <c r="B22" s="3" t="s">
        <v>184</v>
      </c>
      <c r="C22" s="3" t="s">
        <v>185</v>
      </c>
      <c r="D22" s="3" t="s">
        <v>186</v>
      </c>
      <c r="E22" s="3" t="s">
        <v>187</v>
      </c>
    </row>
    <row r="23" customFormat="false" ht="15" hidden="false" customHeight="true" outlineLevel="0" collapsed="false">
      <c r="A23" s="3" t="s">
        <v>188</v>
      </c>
      <c r="B23" s="3" t="s">
        <v>189</v>
      </c>
      <c r="C23" s="3" t="s">
        <v>190</v>
      </c>
      <c r="D23" s="3" t="s">
        <v>191</v>
      </c>
      <c r="E23" s="3" t="s">
        <v>192</v>
      </c>
    </row>
    <row r="24" customFormat="false" ht="27.75" hidden="false" customHeight="true" outlineLevel="0" collapsed="false">
      <c r="A24" s="3" t="s">
        <v>193</v>
      </c>
      <c r="B24" s="3" t="s">
        <v>194</v>
      </c>
      <c r="C24" s="3" t="s">
        <v>195</v>
      </c>
      <c r="D24" s="3" t="s">
        <v>196</v>
      </c>
      <c r="E24" s="3" t="s">
        <v>197</v>
      </c>
    </row>
    <row r="25" customFormat="false" ht="27.75" hidden="false" customHeight="true" outlineLevel="0" collapsed="false">
      <c r="A25" s="3" t="s">
        <v>198</v>
      </c>
      <c r="B25" s="3" t="s">
        <v>199</v>
      </c>
      <c r="C25" s="3" t="s">
        <v>200</v>
      </c>
      <c r="D25" s="3" t="s">
        <v>201</v>
      </c>
      <c r="E25" s="3" t="s">
        <v>202</v>
      </c>
    </row>
  </sheetData>
  <mergeCells count="1">
    <mergeCell ref="A1: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8"/>
    <col collapsed="false" customWidth="true" hidden="false" outlineLevel="0" max="3" min="3" style="1" width="48"/>
    <col collapsed="false" customWidth="true" hidden="false" outlineLevel="0" max="6" min="4" style="1" width="14"/>
  </cols>
  <sheetData>
    <row r="1" customFormat="false" ht="15" hidden="false" customHeight="true" outlineLevel="0" collapsed="false">
      <c r="A1" s="23" t="s">
        <v>203</v>
      </c>
      <c r="B1" s="23"/>
      <c r="C1" s="23"/>
      <c r="D1" s="23"/>
      <c r="E1" s="23"/>
      <c r="F1" s="23"/>
    </row>
    <row r="2" customFormat="false" ht="15" hidden="false" customHeight="true" outlineLevel="0" collapsed="false">
      <c r="A2" s="23"/>
      <c r="B2" s="23"/>
      <c r="C2" s="23"/>
      <c r="D2" s="23"/>
      <c r="E2" s="23"/>
      <c r="F2" s="23"/>
    </row>
    <row r="3" customFormat="false" ht="15" hidden="false" customHeight="true" outlineLevel="0" collapsed="false">
      <c r="A3" s="11" t="s">
        <v>204</v>
      </c>
      <c r="B3" s="11"/>
      <c r="C3" s="11"/>
      <c r="D3" s="11"/>
      <c r="E3" s="11"/>
      <c r="F3" s="11"/>
    </row>
    <row r="5" customFormat="false" ht="15" hidden="false" customHeight="true" outlineLevel="0" collapsed="false">
      <c r="A5" s="14" t="s">
        <v>205</v>
      </c>
      <c r="B5" s="14"/>
      <c r="C5" s="14"/>
      <c r="D5" s="14"/>
      <c r="E5" s="14"/>
      <c r="F5" s="14"/>
    </row>
    <row r="6" customFormat="false" ht="15" hidden="false" customHeight="true" outlineLevel="0" collapsed="false">
      <c r="A6" s="24" t="s">
        <v>206</v>
      </c>
      <c r="B6" s="24" t="s">
        <v>207</v>
      </c>
      <c r="C6" s="24" t="s">
        <v>208</v>
      </c>
    </row>
    <row r="7" customFormat="false" ht="15" hidden="false" customHeight="true" outlineLevel="0" collapsed="false">
      <c r="A7" s="1" t="s">
        <v>209</v>
      </c>
      <c r="B7" s="33" t="n">
        <v>51</v>
      </c>
      <c r="C7" s="1" t="s">
        <v>210</v>
      </c>
    </row>
    <row r="8" customFormat="false" ht="15" hidden="false" customHeight="true" outlineLevel="0" collapsed="false">
      <c r="A8" s="1" t="s">
        <v>211</v>
      </c>
      <c r="B8" s="34" t="n">
        <v>1026.054856</v>
      </c>
      <c r="C8" s="1" t="s">
        <v>210</v>
      </c>
    </row>
    <row r="9" customFormat="false" ht="15" hidden="false" customHeight="true" outlineLevel="0" collapsed="false">
      <c r="A9" s="1" t="s">
        <v>212</v>
      </c>
      <c r="B9" s="34" t="n">
        <v>95.5</v>
      </c>
      <c r="C9" s="1" t="s">
        <v>210</v>
      </c>
    </row>
    <row r="10" customFormat="false" ht="15" hidden="false" customHeight="true" outlineLevel="0" collapsed="false">
      <c r="A10" s="1" t="s">
        <v>213</v>
      </c>
      <c r="B10" s="34" t="n">
        <v>102.5</v>
      </c>
      <c r="C10" s="1" t="s">
        <v>214</v>
      </c>
    </row>
    <row r="11" customFormat="false" ht="15" hidden="false" customHeight="true" outlineLevel="0" collapsed="false">
      <c r="A11" s="16" t="s">
        <v>215</v>
      </c>
      <c r="B11" s="22" t="n">
        <f aca="false">B7*B8</f>
        <v>52328.797656</v>
      </c>
      <c r="C11" s="16" t="s">
        <v>48</v>
      </c>
    </row>
    <row r="12" customFormat="false" ht="15" hidden="false" customHeight="true" outlineLevel="0" collapsed="false">
      <c r="A12" s="1" t="s">
        <v>216</v>
      </c>
      <c r="B12" s="15" t="n">
        <v>1554</v>
      </c>
      <c r="C12" s="1" t="s">
        <v>217</v>
      </c>
    </row>
    <row r="13" customFormat="false" ht="15" hidden="false" customHeight="true" outlineLevel="0" collapsed="false">
      <c r="A13" s="1" t="s">
        <v>218</v>
      </c>
      <c r="B13" s="15" t="n">
        <v>661</v>
      </c>
      <c r="C13" s="1" t="s">
        <v>217</v>
      </c>
    </row>
    <row r="14" customFormat="false" ht="15" hidden="false" customHeight="true" outlineLevel="0" collapsed="false">
      <c r="A14" s="1" t="s">
        <v>219</v>
      </c>
      <c r="B14" s="15" t="n">
        <v>0</v>
      </c>
      <c r="C14" s="1" t="s">
        <v>220</v>
      </c>
    </row>
    <row r="15" customFormat="false" ht="15" hidden="false" customHeight="true" outlineLevel="0" collapsed="false">
      <c r="B15" s="25"/>
    </row>
    <row r="16" customFormat="false" ht="15" hidden="false" customHeight="true" outlineLevel="0" collapsed="false">
      <c r="A16" s="24" t="s">
        <v>221</v>
      </c>
      <c r="B16" s="35" t="s">
        <v>207</v>
      </c>
      <c r="C16" s="24" t="s">
        <v>222</v>
      </c>
    </row>
    <row r="17" customFormat="false" ht="15" hidden="false" customHeight="true" outlineLevel="0" collapsed="false">
      <c r="A17" s="1" t="s">
        <v>223</v>
      </c>
      <c r="B17" s="15" t="n">
        <v>2679</v>
      </c>
      <c r="C17" s="1" t="s">
        <v>224</v>
      </c>
    </row>
    <row r="18" customFormat="false" ht="15" hidden="false" customHeight="true" outlineLevel="0" collapsed="false">
      <c r="A18" s="1" t="s">
        <v>225</v>
      </c>
      <c r="B18" s="15" t="n">
        <v>671</v>
      </c>
      <c r="C18" s="1" t="s">
        <v>224</v>
      </c>
    </row>
    <row r="19" customFormat="false" ht="15" hidden="false" customHeight="true" outlineLevel="0" collapsed="false">
      <c r="A19" s="1" t="s">
        <v>226</v>
      </c>
      <c r="B19" s="15" t="n">
        <v>524</v>
      </c>
      <c r="C19" s="1" t="s">
        <v>224</v>
      </c>
    </row>
    <row r="20" customFormat="false" ht="15" hidden="false" customHeight="true" outlineLevel="0" collapsed="false">
      <c r="A20" s="16" t="s">
        <v>93</v>
      </c>
      <c r="B20" s="22" t="n">
        <f aca="false">B12+B13-B14</f>
        <v>2215</v>
      </c>
      <c r="C20" s="16" t="s">
        <v>227</v>
      </c>
    </row>
    <row r="21" customFormat="false" ht="15" hidden="false" customHeight="true" outlineLevel="0" collapsed="false">
      <c r="A21" s="16" t="s">
        <v>228</v>
      </c>
      <c r="B21" s="22" t="n">
        <f aca="false">B11-B20</f>
        <v>50113.797656</v>
      </c>
      <c r="C21" s="16" t="s">
        <v>229</v>
      </c>
    </row>
    <row r="22" customFormat="false" ht="15" hidden="false" customHeight="true" outlineLevel="0" collapsed="false">
      <c r="A22" s="1" t="s">
        <v>230</v>
      </c>
      <c r="B22" s="36" t="n">
        <f aca="false">B21/B17</f>
        <v>18.7061581396043</v>
      </c>
      <c r="C22" s="1" t="s">
        <v>48</v>
      </c>
    </row>
    <row r="23" customFormat="false" ht="15" hidden="false" customHeight="true" outlineLevel="0" collapsed="false">
      <c r="A23" s="1" t="s">
        <v>231</v>
      </c>
      <c r="B23" s="36" t="n">
        <f aca="false">B11/B19</f>
        <v>99.8641176641221</v>
      </c>
      <c r="C23" s="1" t="s">
        <v>48</v>
      </c>
    </row>
    <row r="26" customFormat="false" ht="15" hidden="false" customHeight="true" outlineLevel="0" collapsed="false">
      <c r="A26" s="8" t="s">
        <v>232</v>
      </c>
      <c r="B26" s="8"/>
      <c r="C26" s="8"/>
      <c r="D26" s="8"/>
      <c r="E26" s="8"/>
      <c r="F26" s="8"/>
    </row>
    <row r="27" customFormat="false" ht="15" hidden="false" customHeight="true" outlineLevel="0" collapsed="false">
      <c r="A27" s="8"/>
      <c r="B27" s="8"/>
      <c r="C27" s="8"/>
      <c r="D27" s="8"/>
      <c r="E27" s="8"/>
      <c r="F27" s="8"/>
    </row>
    <row r="28" customFormat="false" ht="15" hidden="false" customHeight="true" outlineLevel="0" collapsed="false">
      <c r="A28" s="8"/>
      <c r="B28" s="8"/>
      <c r="C28" s="8"/>
      <c r="D28" s="8"/>
      <c r="E28" s="8"/>
      <c r="F28" s="8"/>
    </row>
  </sheetData>
  <mergeCells count="4">
    <mergeCell ref="A1:F2"/>
    <mergeCell ref="A3:F3"/>
    <mergeCell ref="A5:F5"/>
    <mergeCell ref="A26:F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0"/>
    <col collapsed="false" customWidth="true" hidden="false" outlineLevel="0" max="3" min="3" style="1" width="13"/>
    <col collapsed="false" customWidth="true" hidden="false" outlineLevel="0" max="5" min="4" style="1" width="17"/>
    <col collapsed="false" customWidth="true" hidden="false" outlineLevel="0" max="6" min="6" style="1" width="13"/>
    <col collapsed="false" customWidth="true" hidden="false" outlineLevel="0" max="7" min="7" style="1" width="21"/>
    <col collapsed="false" customWidth="true" hidden="false" outlineLevel="0" max="8" min="8" style="1" width="18"/>
    <col collapsed="false" customWidth="true" hidden="false" outlineLevel="0" max="11" min="9" style="1" width="17"/>
    <col collapsed="false" customWidth="true" hidden="false" outlineLevel="0" max="14" min="12" style="1" width="13"/>
    <col collapsed="false" customWidth="true" hidden="false" outlineLevel="0" max="17" min="15" style="1" width="38"/>
    <col collapsed="false" customWidth="true" hidden="false" outlineLevel="0" max="18" min="18" style="1" width="2"/>
  </cols>
  <sheetData>
    <row r="1" customFormat="false" ht="15" hidden="false" customHeight="true" outlineLevel="0" collapsed="false">
      <c r="A1" s="23" t="s">
        <v>233</v>
      </c>
      <c r="B1" s="23"/>
      <c r="C1" s="23"/>
      <c r="D1" s="23"/>
      <c r="E1" s="23"/>
      <c r="F1" s="23"/>
      <c r="G1" s="23"/>
      <c r="H1" s="23"/>
      <c r="I1" s="23"/>
      <c r="J1" s="23"/>
      <c r="K1" s="23"/>
      <c r="L1" s="23"/>
      <c r="M1" s="23"/>
      <c r="N1" s="23"/>
    </row>
    <row r="2" customFormat="false" ht="15" hidden="false" customHeight="true" outlineLevel="0" collapsed="false">
      <c r="A2" s="23"/>
      <c r="B2" s="23"/>
      <c r="C2" s="23"/>
      <c r="D2" s="23"/>
      <c r="E2" s="23"/>
      <c r="F2" s="23"/>
      <c r="G2" s="23"/>
      <c r="H2" s="23"/>
      <c r="I2" s="23"/>
      <c r="J2" s="23"/>
      <c r="K2" s="23"/>
      <c r="L2" s="23"/>
      <c r="M2" s="23"/>
      <c r="N2" s="23"/>
    </row>
    <row r="3" customFormat="false" ht="15" hidden="false" customHeight="true" outlineLevel="0" collapsed="false">
      <c r="A3" s="11" t="s">
        <v>234</v>
      </c>
      <c r="B3" s="11"/>
      <c r="C3" s="11"/>
      <c r="D3" s="11"/>
      <c r="E3" s="11"/>
      <c r="F3" s="11"/>
      <c r="G3" s="11"/>
      <c r="H3" s="11"/>
      <c r="I3" s="11"/>
      <c r="J3" s="11"/>
      <c r="K3" s="11"/>
      <c r="L3" s="11"/>
      <c r="M3" s="11"/>
      <c r="N3" s="11"/>
    </row>
    <row r="5" customFormat="false" ht="15" hidden="false" customHeight="true" outlineLevel="0" collapsed="false">
      <c r="A5" s="14" t="s">
        <v>235</v>
      </c>
      <c r="B5" s="14"/>
      <c r="C5" s="14"/>
      <c r="D5" s="14"/>
      <c r="E5" s="14"/>
      <c r="F5" s="14"/>
      <c r="G5" s="14"/>
      <c r="H5" s="14"/>
      <c r="I5" s="14"/>
      <c r="J5" s="14"/>
      <c r="K5" s="14"/>
      <c r="L5" s="14"/>
      <c r="M5" s="14"/>
      <c r="N5" s="14"/>
    </row>
    <row r="6" customFormat="false" ht="15" hidden="false" customHeight="true" outlineLevel="0" collapsed="false">
      <c r="A6" s="7" t="s">
        <v>236</v>
      </c>
      <c r="B6" s="7" t="s">
        <v>237</v>
      </c>
      <c r="C6" s="7" t="s">
        <v>238</v>
      </c>
      <c r="D6" s="7" t="s">
        <v>239</v>
      </c>
    </row>
    <row r="7" customFormat="false" ht="81.75" hidden="false" customHeight="true" outlineLevel="0" collapsed="false">
      <c r="A7" s="3" t="s">
        <v>240</v>
      </c>
      <c r="B7" s="3" t="s">
        <v>241</v>
      </c>
      <c r="C7" s="3" t="s">
        <v>242</v>
      </c>
      <c r="D7" s="3" t="s">
        <v>243</v>
      </c>
    </row>
    <row r="8" customFormat="false" ht="68.25" hidden="false" customHeight="true" outlineLevel="0" collapsed="false">
      <c r="A8" s="3" t="s">
        <v>244</v>
      </c>
      <c r="B8" s="3" t="s">
        <v>245</v>
      </c>
      <c r="C8" s="3" t="s">
        <v>242</v>
      </c>
      <c r="D8" s="3" t="s">
        <v>246</v>
      </c>
    </row>
    <row r="9" customFormat="false" ht="68.25" hidden="false" customHeight="true" outlineLevel="0" collapsed="false">
      <c r="A9" s="3" t="s">
        <v>247</v>
      </c>
      <c r="B9" s="3" t="s">
        <v>248</v>
      </c>
      <c r="C9" s="3" t="s">
        <v>249</v>
      </c>
      <c r="D9" s="3" t="s">
        <v>250</v>
      </c>
    </row>
    <row r="10" customFormat="false" ht="68.25" hidden="false" customHeight="true" outlineLevel="0" collapsed="false">
      <c r="A10" s="3" t="s">
        <v>251</v>
      </c>
      <c r="B10" s="3" t="s">
        <v>251</v>
      </c>
      <c r="C10" s="3" t="s">
        <v>252</v>
      </c>
      <c r="D10" s="3" t="s">
        <v>253</v>
      </c>
    </row>
    <row r="11" customFormat="false" ht="81.75" hidden="false" customHeight="true" outlineLevel="0" collapsed="false">
      <c r="A11" s="3" t="s">
        <v>254</v>
      </c>
      <c r="B11" s="3" t="s">
        <v>255</v>
      </c>
      <c r="C11" s="3" t="s">
        <v>256</v>
      </c>
      <c r="D11" s="3" t="s">
        <v>257</v>
      </c>
    </row>
    <row r="12" customFormat="false" ht="68.25" hidden="false" customHeight="true" outlineLevel="0" collapsed="false">
      <c r="A12" s="3" t="s">
        <v>258</v>
      </c>
      <c r="B12" s="3" t="s">
        <v>259</v>
      </c>
      <c r="C12" s="3" t="s">
        <v>260</v>
      </c>
      <c r="D12" s="3" t="s">
        <v>261</v>
      </c>
    </row>
    <row r="15" customFormat="false" ht="15" hidden="false" customHeight="true" outlineLevel="0" collapsed="false">
      <c r="A15" s="14" t="s">
        <v>262</v>
      </c>
      <c r="B15" s="14"/>
      <c r="C15" s="14"/>
      <c r="D15" s="14"/>
      <c r="E15" s="14"/>
      <c r="F15" s="14"/>
      <c r="G15" s="14"/>
      <c r="H15" s="14"/>
      <c r="I15" s="14"/>
      <c r="J15" s="14"/>
      <c r="K15" s="14"/>
      <c r="L15" s="14"/>
      <c r="M15" s="14"/>
      <c r="N15" s="14"/>
    </row>
    <row r="16" customFormat="false" ht="27.75" hidden="false" customHeight="true" outlineLevel="0" collapsed="false">
      <c r="A16" s="7" t="s">
        <v>236</v>
      </c>
      <c r="B16" s="7" t="s">
        <v>237</v>
      </c>
      <c r="C16" s="7" t="s">
        <v>263</v>
      </c>
      <c r="D16" s="7" t="s">
        <v>264</v>
      </c>
      <c r="E16" s="7" t="s">
        <v>265</v>
      </c>
      <c r="F16" s="7" t="s">
        <v>266</v>
      </c>
      <c r="G16" s="7" t="s">
        <v>267</v>
      </c>
      <c r="H16" s="7" t="s">
        <v>268</v>
      </c>
      <c r="I16" s="7" t="s">
        <v>269</v>
      </c>
      <c r="J16" s="7" t="s">
        <v>270</v>
      </c>
      <c r="K16" s="7" t="s">
        <v>271</v>
      </c>
      <c r="L16" s="7" t="s">
        <v>272</v>
      </c>
      <c r="M16" s="7" t="s">
        <v>273</v>
      </c>
      <c r="N16" s="7" t="s">
        <v>274</v>
      </c>
      <c r="O16" s="7" t="s">
        <v>275</v>
      </c>
      <c r="P16" s="7" t="s">
        <v>276</v>
      </c>
      <c r="Q16" s="7" t="s">
        <v>277</v>
      </c>
      <c r="R16" s="1" t="s">
        <v>278</v>
      </c>
    </row>
    <row r="17" customFormat="false" ht="41.25" hidden="false" customHeight="true" outlineLevel="0" collapsed="false">
      <c r="A17" s="1" t="s">
        <v>240</v>
      </c>
      <c r="B17" s="1" t="s">
        <v>241</v>
      </c>
      <c r="C17" s="37" t="n">
        <v>466.86</v>
      </c>
      <c r="D17" s="38" t="n">
        <v>152.083817</v>
      </c>
      <c r="E17" s="39" t="n">
        <f aca="false">C17*D17</f>
        <v>71001.85080462</v>
      </c>
      <c r="F17" s="38" t="n">
        <v>18.165</v>
      </c>
      <c r="G17" s="38" t="n">
        <v>1834.587</v>
      </c>
      <c r="H17" s="39" t="n">
        <f aca="false">E17+F17-G17</f>
        <v>69185.42880462</v>
      </c>
      <c r="I17" s="38" t="n">
        <v>4800</v>
      </c>
      <c r="J17" s="38" t="n">
        <v>1370</v>
      </c>
      <c r="K17" s="38" t="n">
        <v>1040</v>
      </c>
      <c r="L17" s="36" t="n">
        <f aca="false">H17/I17</f>
        <v>14.4136310009625</v>
      </c>
      <c r="M17" s="36" t="n">
        <f aca="false">H17/J17</f>
        <v>50.500312996073</v>
      </c>
      <c r="N17" s="36" t="n">
        <f aca="false">IF(K17&lt;=0,"N.M.",E17/K17)</f>
        <v>68.2710103890577</v>
      </c>
      <c r="O17" s="3" t="s">
        <v>133</v>
      </c>
      <c r="P17" s="3" t="s">
        <v>138</v>
      </c>
      <c r="Q17" s="3" t="s">
        <v>279</v>
      </c>
      <c r="R17" s="40" t="n">
        <f aca="false">N17</f>
        <v>68.2710103890577</v>
      </c>
    </row>
    <row r="18" customFormat="false" ht="41.25" hidden="false" customHeight="true" outlineLevel="0" collapsed="false">
      <c r="A18" s="1" t="s">
        <v>244</v>
      </c>
      <c r="B18" s="1" t="s">
        <v>245</v>
      </c>
      <c r="C18" s="37" t="n">
        <v>241.13</v>
      </c>
      <c r="D18" s="38" t="n">
        <v>271.79</v>
      </c>
      <c r="E18" s="39" t="n">
        <f aca="false">C18*D18</f>
        <v>65536.7227</v>
      </c>
      <c r="F18" s="38" t="n">
        <v>648.551</v>
      </c>
      <c r="G18" s="38" t="n">
        <v>873.925</v>
      </c>
      <c r="H18" s="39" t="n">
        <f aca="false">E18+F18-G18</f>
        <v>65311.3487</v>
      </c>
      <c r="I18" s="38" t="n">
        <v>3800</v>
      </c>
      <c r="J18" s="38" t="n">
        <v>1230</v>
      </c>
      <c r="K18" s="38" t="n">
        <v>890</v>
      </c>
      <c r="L18" s="36" t="n">
        <f aca="false">H18/I18</f>
        <v>17.1871970263158</v>
      </c>
      <c r="M18" s="36" t="n">
        <f aca="false">H18/J18</f>
        <v>53.0986574796748</v>
      </c>
      <c r="N18" s="36" t="n">
        <f aca="false">IF(K18&lt;=0,"N.M.",E18/K18)</f>
        <v>73.6367670786517</v>
      </c>
      <c r="O18" s="3" t="s">
        <v>133</v>
      </c>
      <c r="P18" s="3" t="s">
        <v>143</v>
      </c>
      <c r="Q18" s="3" t="s">
        <v>280</v>
      </c>
      <c r="R18" s="40" t="n">
        <f aca="false">N18</f>
        <v>73.6367670786517</v>
      </c>
    </row>
    <row r="19" customFormat="false" ht="41.25" hidden="false" customHeight="true" outlineLevel="0" collapsed="false">
      <c r="A19" s="1" t="s">
        <v>247</v>
      </c>
      <c r="B19" s="1" t="s">
        <v>248</v>
      </c>
      <c r="C19" s="37" t="n">
        <v>454.85</v>
      </c>
      <c r="D19" s="38" t="n">
        <v>2470</v>
      </c>
      <c r="E19" s="39" t="n">
        <f aca="false">C19*D19</f>
        <v>1123479.5</v>
      </c>
      <c r="F19" s="38" t="n">
        <v>9705</v>
      </c>
      <c r="G19" s="38" t="n">
        <v>16020</v>
      </c>
      <c r="H19" s="39" t="n">
        <f aca="false">E19+F19-G19</f>
        <v>1117164.5</v>
      </c>
      <c r="I19" s="38" t="n">
        <v>32680</v>
      </c>
      <c r="J19" s="38" t="n">
        <v>12380</v>
      </c>
      <c r="K19" s="38" t="n">
        <v>10330</v>
      </c>
      <c r="L19" s="36" t="n">
        <f aca="false">H19/I19</f>
        <v>34.1849602203182</v>
      </c>
      <c r="M19" s="36" t="n">
        <f aca="false">H19/J19</f>
        <v>90.2394588045234</v>
      </c>
      <c r="N19" s="36" t="n">
        <f aca="false">IF(K19&lt;=0,"N.M.",E19/K19)</f>
        <v>108.758906098742</v>
      </c>
      <c r="O19" s="3" t="s">
        <v>133</v>
      </c>
      <c r="P19" s="3" t="s">
        <v>148</v>
      </c>
      <c r="Q19" s="3" t="s">
        <v>281</v>
      </c>
      <c r="R19" s="40" t="n">
        <f aca="false">N19</f>
        <v>108.758906098742</v>
      </c>
    </row>
    <row r="20" customFormat="false" ht="41.25" hidden="false" customHeight="true" outlineLevel="0" collapsed="false">
      <c r="A20" s="1" t="s">
        <v>251</v>
      </c>
      <c r="B20" s="1" t="s">
        <v>251</v>
      </c>
      <c r="C20" s="37" t="n">
        <v>107.71</v>
      </c>
      <c r="D20" s="38" t="n">
        <v>1615.67138</v>
      </c>
      <c r="E20" s="39" t="n">
        <f aca="false">C20*D20</f>
        <v>174023.9643398</v>
      </c>
      <c r="F20" s="38" t="n">
        <v>2500</v>
      </c>
      <c r="G20" s="38" t="n">
        <v>6300</v>
      </c>
      <c r="H20" s="39" t="n">
        <f aca="false">E20+F20-G20</f>
        <v>170223.9643398</v>
      </c>
      <c r="I20" s="38" t="n">
        <v>21880</v>
      </c>
      <c r="J20" s="38" t="n">
        <v>3940</v>
      </c>
      <c r="K20" s="38" t="n">
        <v>-30</v>
      </c>
      <c r="L20" s="36" t="n">
        <f aca="false">H20/I20</f>
        <v>7.77988868097806</v>
      </c>
      <c r="M20" s="36" t="n">
        <f aca="false">H20/J20</f>
        <v>43.2040518628934</v>
      </c>
      <c r="N20" s="36" t="str">
        <f aca="false">IF(K20&lt;=0,"N.M.",E20/K20)</f>
        <v>N.M.</v>
      </c>
      <c r="O20" s="3" t="s">
        <v>133</v>
      </c>
      <c r="P20" s="3" t="s">
        <v>153</v>
      </c>
      <c r="Q20" s="3" t="s">
        <v>282</v>
      </c>
      <c r="R20" s="40" t="n">
        <f aca="false">N21</f>
        <v>14.5700232018561</v>
      </c>
    </row>
    <row r="21" customFormat="false" ht="41.25" hidden="false" customHeight="true" outlineLevel="0" collapsed="false">
      <c r="A21" s="1" t="s">
        <v>254</v>
      </c>
      <c r="B21" s="1" t="s">
        <v>255</v>
      </c>
      <c r="C21" s="37" t="n">
        <v>112.64</v>
      </c>
      <c r="D21" s="38" t="n">
        <v>1115</v>
      </c>
      <c r="E21" s="39" t="n">
        <f aca="false">C21*D21</f>
        <v>125593.6</v>
      </c>
      <c r="F21" s="38" t="n">
        <v>15444</v>
      </c>
      <c r="G21" s="38" t="n">
        <v>8631</v>
      </c>
      <c r="H21" s="39" t="n">
        <f aca="false">E21+F21-G21</f>
        <v>132406.6</v>
      </c>
      <c r="I21" s="38" t="n">
        <v>38580</v>
      </c>
      <c r="J21" s="38" t="n">
        <v>11880</v>
      </c>
      <c r="K21" s="38" t="n">
        <v>8620</v>
      </c>
      <c r="L21" s="36" t="n">
        <f aca="false">H21/I21</f>
        <v>3.43200103680664</v>
      </c>
      <c r="M21" s="36" t="n">
        <f aca="false">H21/J21</f>
        <v>11.1453367003367</v>
      </c>
      <c r="N21" s="36" t="n">
        <f aca="false">IF(K21&lt;=0,"N.M.",E21/K21)</f>
        <v>14.5700232018561</v>
      </c>
      <c r="O21" s="3" t="s">
        <v>133</v>
      </c>
      <c r="P21" s="3" t="s">
        <v>158</v>
      </c>
      <c r="Q21" s="3" t="s">
        <v>283</v>
      </c>
      <c r="R21" s="40" t="n">
        <f aca="false">N22</f>
        <v>25.3810016890209</v>
      </c>
    </row>
    <row r="22" customFormat="false" ht="41.25" hidden="false" customHeight="true" outlineLevel="0" collapsed="false">
      <c r="A22" s="1" t="s">
        <v>258</v>
      </c>
      <c r="B22" s="1" t="s">
        <v>259</v>
      </c>
      <c r="C22" s="37" t="n">
        <v>852.93</v>
      </c>
      <c r="D22" s="38" t="n">
        <v>412.735504</v>
      </c>
      <c r="E22" s="39" t="n">
        <f aca="false">C22*D22</f>
        <v>352034.49342672</v>
      </c>
      <c r="F22" s="38" t="n">
        <v>40958</v>
      </c>
      <c r="G22" s="38" t="n">
        <v>12055</v>
      </c>
      <c r="H22" s="39" t="n">
        <f aca="false">E22+F22-G22</f>
        <v>380937.49342672</v>
      </c>
      <c r="I22" s="38" t="n">
        <v>35450</v>
      </c>
      <c r="J22" s="38" t="n">
        <v>20070</v>
      </c>
      <c r="K22" s="38" t="n">
        <v>13870</v>
      </c>
      <c r="L22" s="36" t="n">
        <f aca="false">H22/I22</f>
        <v>10.7457685028694</v>
      </c>
      <c r="M22" s="36" t="n">
        <f aca="false">H22/J22</f>
        <v>18.9804431204146</v>
      </c>
      <c r="N22" s="36" t="n">
        <f aca="false">IF(K22&lt;=0,"N.M.",E22/K22)</f>
        <v>25.3810016890209</v>
      </c>
      <c r="O22" s="3" t="s">
        <v>133</v>
      </c>
      <c r="P22" s="3" t="s">
        <v>162</v>
      </c>
      <c r="Q22" s="3" t="s">
        <v>284</v>
      </c>
    </row>
    <row r="23" customFormat="false" ht="15" hidden="false" customHeight="true" outlineLevel="0" collapsed="false">
      <c r="L23" s="36"/>
      <c r="M23" s="36"/>
      <c r="N23" s="36"/>
    </row>
    <row r="24" customFormat="false" ht="15" hidden="false" customHeight="true" outlineLevel="0" collapsed="false">
      <c r="A24" s="24" t="s">
        <v>285</v>
      </c>
      <c r="B24" s="24"/>
      <c r="C24" s="24"/>
      <c r="D24" s="24"/>
      <c r="E24" s="24"/>
      <c r="F24" s="24"/>
      <c r="G24" s="24"/>
      <c r="H24" s="24"/>
      <c r="I24" s="24"/>
      <c r="J24" s="24"/>
      <c r="K24" s="24"/>
      <c r="L24" s="41"/>
      <c r="M24" s="41"/>
      <c r="N24" s="41"/>
    </row>
    <row r="25" customFormat="false" ht="15" hidden="false" customHeight="true" outlineLevel="0" collapsed="false">
      <c r="A25" s="42" t="s">
        <v>286</v>
      </c>
      <c r="B25" s="42"/>
      <c r="C25" s="42"/>
      <c r="D25" s="42"/>
      <c r="E25" s="42"/>
      <c r="F25" s="42"/>
      <c r="G25" s="42"/>
      <c r="H25" s="42"/>
      <c r="I25" s="42"/>
      <c r="J25" s="42"/>
      <c r="K25" s="42"/>
      <c r="L25" s="36" t="n">
        <f aca="false">MEDIAN(L17:L22)</f>
        <v>12.5796997519159</v>
      </c>
      <c r="M25" s="36" t="n">
        <f aca="false">MEDIAN(M17:M22)</f>
        <v>46.8521824294832</v>
      </c>
      <c r="N25" s="36" t="n">
        <f aca="false">MEDIAN(R17:R21)</f>
        <v>68.2710103890577</v>
      </c>
    </row>
    <row r="26" customFormat="false" ht="15" hidden="false" customHeight="true" outlineLevel="0" collapsed="false">
      <c r="A26" s="42" t="s">
        <v>287</v>
      </c>
      <c r="B26" s="42"/>
      <c r="C26" s="42"/>
      <c r="D26" s="42"/>
      <c r="E26" s="42"/>
      <c r="F26" s="42"/>
      <c r="G26" s="42"/>
      <c r="H26" s="42"/>
      <c r="I26" s="42"/>
      <c r="J26" s="42"/>
      <c r="K26" s="42"/>
      <c r="L26" s="36" t="e">
        <f aca="false">quartile.inc(L17:L22,1)</f>
        <v>#NAME?</v>
      </c>
      <c r="M26" s="36" t="e">
        <f aca="false">quartile.inc(M17:M22,1)</f>
        <v>#NAME?</v>
      </c>
      <c r="N26" s="36" t="e">
        <f aca="false">quartile.inc(R17:R21,1)</f>
        <v>#NAME?</v>
      </c>
    </row>
    <row r="27" customFormat="false" ht="15" hidden="false" customHeight="true" outlineLevel="0" collapsed="false">
      <c r="A27" s="42" t="s">
        <v>288</v>
      </c>
      <c r="B27" s="42"/>
      <c r="C27" s="42"/>
      <c r="D27" s="42"/>
      <c r="E27" s="42"/>
      <c r="F27" s="42"/>
      <c r="G27" s="42"/>
      <c r="H27" s="42"/>
      <c r="I27" s="42"/>
      <c r="J27" s="42"/>
      <c r="K27" s="42"/>
      <c r="L27" s="36" t="e">
        <f aca="false">quartile.inc(L17:L22,3)</f>
        <v>#NAME?</v>
      </c>
      <c r="M27" s="36" t="e">
        <f aca="false">quartile.inc(M17:M22,3)</f>
        <v>#NAME?</v>
      </c>
      <c r="N27" s="36" t="e">
        <f aca="false">quartile.inc(R17:R21,3)</f>
        <v>#NAME?</v>
      </c>
    </row>
    <row r="29" customFormat="false" ht="15" hidden="false" customHeight="true" outlineLevel="0" collapsed="false">
      <c r="A29" s="43" t="s">
        <v>289</v>
      </c>
      <c r="B29" s="43"/>
      <c r="C29" s="43"/>
      <c r="D29" s="43"/>
      <c r="E29" s="43"/>
      <c r="F29" s="43"/>
      <c r="G29" s="43"/>
      <c r="H29" s="43"/>
      <c r="I29" s="43"/>
      <c r="J29" s="43"/>
      <c r="K29" s="43"/>
      <c r="L29" s="43"/>
      <c r="M29" s="43"/>
      <c r="N29" s="43"/>
    </row>
    <row r="30" customFormat="false" ht="15" hidden="false" customHeight="true" outlineLevel="0" collapsed="false">
      <c r="A30" s="14" t="s">
        <v>290</v>
      </c>
      <c r="B30" s="14"/>
      <c r="C30" s="14"/>
      <c r="D30" s="14"/>
      <c r="E30" s="14"/>
      <c r="F30" s="14"/>
      <c r="G30" s="14"/>
      <c r="H30" s="14"/>
      <c r="I30" s="14"/>
      <c r="J30" s="14"/>
      <c r="K30" s="14"/>
      <c r="L30" s="14"/>
      <c r="M30" s="14"/>
      <c r="N30" s="14"/>
    </row>
    <row r="31" customFormat="false" ht="15" hidden="false" customHeight="true" outlineLevel="0" collapsed="false">
      <c r="A31" s="24" t="s">
        <v>206</v>
      </c>
      <c r="B31" s="24" t="s">
        <v>291</v>
      </c>
      <c r="C31" s="24" t="s">
        <v>292</v>
      </c>
      <c r="F31" s="8" t="s">
        <v>293</v>
      </c>
      <c r="G31" s="8"/>
      <c r="H31" s="8"/>
      <c r="I31" s="8"/>
      <c r="J31" s="8"/>
      <c r="K31" s="8"/>
      <c r="L31" s="8"/>
      <c r="M31" s="8"/>
      <c r="N31" s="8"/>
    </row>
    <row r="32" customFormat="false" ht="15" hidden="false" customHeight="true" outlineLevel="0" collapsed="false">
      <c r="A32" s="1" t="s">
        <v>265</v>
      </c>
      <c r="B32" s="44" t="n">
        <f aca="false">'IPO Snapshot'!B11</f>
        <v>52328.797656</v>
      </c>
      <c r="C32" s="1" t="s">
        <v>294</v>
      </c>
      <c r="F32" s="8"/>
      <c r="G32" s="8"/>
      <c r="H32" s="8"/>
      <c r="I32" s="8"/>
      <c r="J32" s="8"/>
      <c r="K32" s="8"/>
      <c r="L32" s="8"/>
      <c r="M32" s="8"/>
      <c r="N32" s="8"/>
    </row>
    <row r="33" customFormat="false" ht="15" hidden="false" customHeight="true" outlineLevel="0" collapsed="false">
      <c r="A33" s="1" t="s">
        <v>268</v>
      </c>
      <c r="B33" s="44" t="n">
        <f aca="false">'IPO Snapshot'!B21</f>
        <v>50113.797656</v>
      </c>
      <c r="C33" s="1" t="s">
        <v>294</v>
      </c>
      <c r="F33" s="8"/>
      <c r="G33" s="8"/>
      <c r="H33" s="8"/>
      <c r="I33" s="8"/>
      <c r="J33" s="8"/>
      <c r="K33" s="8"/>
      <c r="L33" s="8"/>
      <c r="M33" s="8"/>
      <c r="N33" s="8"/>
    </row>
    <row r="34" customFormat="false" ht="15" hidden="false" customHeight="true" outlineLevel="0" collapsed="false">
      <c r="A34" s="1" t="s">
        <v>272</v>
      </c>
      <c r="B34" s="45" t="n">
        <f aca="false">'IPO Snapshot'!B22</f>
        <v>18.7061581396043</v>
      </c>
      <c r="C34" s="1" t="s">
        <v>294</v>
      </c>
      <c r="F34" s="8"/>
      <c r="G34" s="8"/>
      <c r="H34" s="8"/>
      <c r="I34" s="8"/>
      <c r="J34" s="8"/>
      <c r="K34" s="8"/>
      <c r="L34" s="8"/>
      <c r="M34" s="8"/>
      <c r="N34" s="8"/>
    </row>
    <row r="35" customFormat="false" ht="15" hidden="false" customHeight="true" outlineLevel="0" collapsed="false">
      <c r="A35" s="1" t="s">
        <v>274</v>
      </c>
      <c r="B35" s="45" t="n">
        <f aca="false">'IPO Snapshot'!B23</f>
        <v>99.8641176641221</v>
      </c>
      <c r="C35" s="1" t="s">
        <v>294</v>
      </c>
      <c r="F35" s="8"/>
      <c r="G35" s="8"/>
      <c r="H35" s="8"/>
      <c r="I35" s="8"/>
      <c r="J35" s="8"/>
      <c r="K35" s="8"/>
      <c r="L35" s="8"/>
      <c r="M35" s="8"/>
      <c r="N35" s="8"/>
    </row>
    <row r="38" customFormat="false" ht="15" hidden="false" customHeight="true" outlineLevel="0" collapsed="false">
      <c r="A38" s="14" t="s">
        <v>295</v>
      </c>
      <c r="B38" s="14"/>
      <c r="C38" s="14"/>
      <c r="D38" s="14"/>
      <c r="E38" s="14"/>
      <c r="F38" s="14"/>
      <c r="G38" s="14"/>
      <c r="H38" s="14"/>
      <c r="I38" s="14"/>
      <c r="J38" s="14"/>
      <c r="K38" s="14"/>
      <c r="L38" s="14"/>
      <c r="M38" s="14"/>
      <c r="N38" s="14"/>
    </row>
    <row r="39" customFormat="false" ht="15" hidden="false" customHeight="true" outlineLevel="0" collapsed="false">
      <c r="A39" s="24" t="s">
        <v>206</v>
      </c>
      <c r="B39" s="24" t="s">
        <v>291</v>
      </c>
      <c r="C39" s="24" t="s">
        <v>296</v>
      </c>
      <c r="D39" s="24" t="s">
        <v>297</v>
      </c>
    </row>
    <row r="40" customFormat="false" ht="15" hidden="false" customHeight="true" outlineLevel="0" collapsed="false">
      <c r="A40" s="1" t="s">
        <v>272</v>
      </c>
      <c r="B40" s="36" t="n">
        <f aca="false">'IPO Snapshot'!B22</f>
        <v>18.7061581396043</v>
      </c>
      <c r="C40" s="36" t="n">
        <f aca="false">L25</f>
        <v>12.5796997519159</v>
      </c>
      <c r="D40" s="19" t="n">
        <f aca="false">B40/C40-1</f>
        <v>0.487011495386072</v>
      </c>
    </row>
    <row r="41" customFormat="false" ht="15" hidden="false" customHeight="true" outlineLevel="0" collapsed="false">
      <c r="A41" s="1" t="s">
        <v>273</v>
      </c>
      <c r="B41" s="36" t="s">
        <v>298</v>
      </c>
      <c r="C41" s="36" t="n">
        <f aca="false">M25</f>
        <v>46.8521824294832</v>
      </c>
      <c r="D41" s="19" t="s">
        <v>298</v>
      </c>
    </row>
    <row r="42" customFormat="false" ht="15" hidden="false" customHeight="true" outlineLevel="0" collapsed="false">
      <c r="A42" s="1" t="s">
        <v>274</v>
      </c>
      <c r="B42" s="36" t="n">
        <f aca="false">'IPO Snapshot'!B23</f>
        <v>99.8641176641221</v>
      </c>
      <c r="C42" s="36" t="n">
        <f aca="false">N25</f>
        <v>68.2710103890577</v>
      </c>
      <c r="D42" s="19" t="n">
        <f aca="false">B42/C42-1</f>
        <v>0.462760212497574</v>
      </c>
    </row>
    <row r="43" customFormat="false" ht="15" hidden="false" customHeight="true" outlineLevel="0" collapsed="false">
      <c r="A43" s="1" t="s">
        <v>299</v>
      </c>
      <c r="B43" s="36" t="n">
        <f aca="false">AVERAGE(L17:L18)</f>
        <v>15.8004140136391</v>
      </c>
      <c r="C43" s="36" t="n">
        <f aca="false">AVERAGE(L17:L18)</f>
        <v>15.8004140136391</v>
      </c>
      <c r="D43" s="42"/>
    </row>
    <row r="44" customFormat="false" ht="36" hidden="false" customHeight="true" outlineLevel="0" collapsed="false">
      <c r="A44" s="1" t="s">
        <v>300</v>
      </c>
      <c r="B44" s="46" t="s">
        <v>301</v>
      </c>
      <c r="C44" s="46"/>
      <c r="D44" s="46"/>
    </row>
  </sheetData>
  <mergeCells count="10">
    <mergeCell ref="A1:N2"/>
    <mergeCell ref="A3:N3"/>
    <mergeCell ref="A5:N5"/>
    <mergeCell ref="A15:N15"/>
    <mergeCell ref="A29:N29"/>
    <mergeCell ref="A30:F30"/>
    <mergeCell ref="F30:N30"/>
    <mergeCell ref="F31:N35"/>
    <mergeCell ref="A38:N38"/>
    <mergeCell ref="B44:D4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6" min="2" style="1" width="16"/>
    <col collapsed="false" customWidth="true" hidden="false" outlineLevel="0" max="7" min="7" style="1" width="52"/>
    <col collapsed="false" customWidth="true" hidden="false" outlineLevel="0" max="8" min="8" style="1" width="14"/>
  </cols>
  <sheetData>
    <row r="1" customFormat="false" ht="15" hidden="false" customHeight="true" outlineLevel="0" collapsed="false">
      <c r="A1" s="23" t="s">
        <v>302</v>
      </c>
      <c r="B1" s="23"/>
      <c r="C1" s="23"/>
      <c r="D1" s="23"/>
      <c r="E1" s="23"/>
      <c r="F1" s="23"/>
      <c r="G1" s="23"/>
      <c r="H1" s="23"/>
    </row>
    <row r="2" customFormat="false" ht="15" hidden="false" customHeight="true" outlineLevel="0" collapsed="false">
      <c r="A2" s="23"/>
      <c r="B2" s="23"/>
      <c r="C2" s="23"/>
      <c r="D2" s="23"/>
      <c r="E2" s="23"/>
      <c r="F2" s="23"/>
      <c r="G2" s="23"/>
      <c r="H2" s="23"/>
    </row>
    <row r="3" customFormat="false" ht="15" hidden="false" customHeight="true" outlineLevel="0" collapsed="false">
      <c r="A3" s="11" t="s">
        <v>204</v>
      </c>
      <c r="B3" s="11"/>
      <c r="C3" s="11"/>
      <c r="D3" s="11"/>
      <c r="E3" s="11"/>
      <c r="F3" s="11"/>
      <c r="G3" s="11"/>
      <c r="H3" s="11"/>
    </row>
    <row r="5" customFormat="false" ht="15" hidden="false" customHeight="true" outlineLevel="0" collapsed="false">
      <c r="A5" s="14" t="s">
        <v>303</v>
      </c>
      <c r="B5" s="14"/>
      <c r="C5" s="14"/>
      <c r="D5" s="14"/>
      <c r="E5" s="14"/>
      <c r="F5" s="14"/>
      <c r="G5" s="14"/>
      <c r="H5" s="14"/>
      <c r="J5" s="24" t="s">
        <v>304</v>
      </c>
      <c r="K5" s="24" t="s">
        <v>305</v>
      </c>
    </row>
    <row r="6" customFormat="false" ht="15" hidden="false" customHeight="true" outlineLevel="0" collapsed="false">
      <c r="A6" s="24" t="s">
        <v>206</v>
      </c>
      <c r="B6" s="24" t="s">
        <v>207</v>
      </c>
      <c r="C6" s="24" t="s">
        <v>40</v>
      </c>
      <c r="J6" s="47" t="s">
        <v>296</v>
      </c>
      <c r="K6" s="47" t="n">
        <v>35</v>
      </c>
    </row>
    <row r="7" customFormat="false" ht="15" hidden="false" customHeight="true" outlineLevel="0" collapsed="false">
      <c r="A7" s="1" t="s">
        <v>306</v>
      </c>
      <c r="B7" s="44" t="n">
        <f aca="false">'IPO Snapshot'!B17</f>
        <v>2679</v>
      </c>
      <c r="C7" s="1" t="s">
        <v>294</v>
      </c>
      <c r="J7" s="47" t="s">
        <v>307</v>
      </c>
      <c r="K7" s="47" t="n">
        <v>43.41</v>
      </c>
    </row>
    <row r="8" customFormat="false" ht="15" hidden="false" customHeight="true" outlineLevel="0" collapsed="false">
      <c r="A8" s="1" t="s">
        <v>308</v>
      </c>
      <c r="B8" s="44" t="n">
        <f aca="false">'IPO Snapshot'!B20</f>
        <v>2215</v>
      </c>
      <c r="C8" s="1" t="s">
        <v>294</v>
      </c>
      <c r="J8" s="47" t="s">
        <v>288</v>
      </c>
      <c r="K8" s="47" t="n">
        <v>45.22</v>
      </c>
    </row>
    <row r="9" customFormat="false" ht="15" hidden="false" customHeight="true" outlineLevel="0" collapsed="false">
      <c r="A9" s="1" t="s">
        <v>309</v>
      </c>
      <c r="B9" s="48" t="n">
        <f aca="false">'IPO Snapshot'!B8</f>
        <v>1026.054856</v>
      </c>
      <c r="C9" s="1" t="s">
        <v>294</v>
      </c>
      <c r="J9" s="47" t="s">
        <v>310</v>
      </c>
      <c r="K9" s="47" t="n">
        <v>51</v>
      </c>
    </row>
    <row r="10" customFormat="false" ht="15" hidden="false" customHeight="true" outlineLevel="0" collapsed="false">
      <c r="A10" s="1" t="s">
        <v>310</v>
      </c>
      <c r="B10" s="49" t="n">
        <f aca="false">'IPO Snapshot'!B7</f>
        <v>51</v>
      </c>
      <c r="C10" s="1" t="s">
        <v>294</v>
      </c>
    </row>
    <row r="11" customFormat="false" ht="15" hidden="false" customHeight="true" outlineLevel="0" collapsed="false">
      <c r="A11" s="1" t="s">
        <v>311</v>
      </c>
      <c r="B11" s="44" t="n">
        <f aca="false">'IPO Snapshot'!B21</f>
        <v>50113.797656</v>
      </c>
      <c r="C11" s="1" t="s">
        <v>294</v>
      </c>
    </row>
    <row r="14" customFormat="false" ht="15" hidden="false" customHeight="true" outlineLevel="0" collapsed="false">
      <c r="A14" s="14" t="s">
        <v>312</v>
      </c>
      <c r="B14" s="14"/>
      <c r="C14" s="14"/>
      <c r="D14" s="14"/>
      <c r="E14" s="14"/>
      <c r="F14" s="14"/>
      <c r="G14" s="14"/>
      <c r="H14" s="14"/>
    </row>
    <row r="15" customFormat="false" ht="27.75" hidden="false" customHeight="true" outlineLevel="0" collapsed="false">
      <c r="A15" s="7" t="s">
        <v>304</v>
      </c>
      <c r="B15" s="7" t="s">
        <v>272</v>
      </c>
      <c r="C15" s="7" t="s">
        <v>313</v>
      </c>
      <c r="D15" s="7" t="s">
        <v>314</v>
      </c>
      <c r="E15" s="7" t="s">
        <v>305</v>
      </c>
      <c r="F15" s="7" t="s">
        <v>315</v>
      </c>
      <c r="G15" s="7" t="s">
        <v>316</v>
      </c>
      <c r="H15" s="7" t="s">
        <v>40</v>
      </c>
    </row>
    <row r="16" customFormat="false" ht="15" hidden="false" customHeight="true" outlineLevel="0" collapsed="false">
      <c r="A16" s="1" t="s">
        <v>317</v>
      </c>
      <c r="B16" s="36" t="n">
        <f aca="false">CCA!L25</f>
        <v>12.5796997519159</v>
      </c>
      <c r="C16" s="39" t="n">
        <f aca="false">B16*$B$7</f>
        <v>33701.0156353828</v>
      </c>
      <c r="D16" s="39" t="n">
        <f aca="false">C16+$B$8</f>
        <v>35916.0156353828</v>
      </c>
      <c r="E16" s="50" t="n">
        <f aca="false">D16/$B$9</f>
        <v>35.0039916729197</v>
      </c>
      <c r="F16" s="19" t="n">
        <f aca="false">E16/$B$10-1</f>
        <v>-0.313647222099614</v>
      </c>
      <c r="G16" s="1" t="s">
        <v>318</v>
      </c>
      <c r="H16" s="1" t="s">
        <v>319</v>
      </c>
    </row>
    <row r="17" customFormat="false" ht="15" hidden="false" customHeight="true" outlineLevel="0" collapsed="false">
      <c r="A17" s="1" t="s">
        <v>320</v>
      </c>
      <c r="B17" s="36" t="n">
        <f aca="false">AVERAGE(CCA!L17:L18)</f>
        <v>15.8004140136391</v>
      </c>
      <c r="C17" s="39" t="n">
        <f aca="false">B17*$B$7</f>
        <v>42329.3091425393</v>
      </c>
      <c r="D17" s="39" t="n">
        <f aca="false">C17+$B$8</f>
        <v>44544.3091425393</v>
      </c>
      <c r="E17" s="50" t="n">
        <f aca="false">D17/$B$9</f>
        <v>43.4131848624468</v>
      </c>
      <c r="F17" s="19" t="n">
        <f aca="false">E17/$B$10-1</f>
        <v>-0.148761081128493</v>
      </c>
      <c r="G17" s="1" t="s">
        <v>321</v>
      </c>
      <c r="H17" s="1" t="s">
        <v>319</v>
      </c>
    </row>
    <row r="18" customFormat="false" ht="15" hidden="false" customHeight="true" outlineLevel="0" collapsed="false">
      <c r="A18" s="1" t="s">
        <v>322</v>
      </c>
      <c r="B18" s="36" t="e">
        <f aca="false">CCA!L27</f>
        <v>#NAME?</v>
      </c>
      <c r="C18" s="39" t="e">
        <f aca="false">B18*$B$7</f>
        <v>#NAME?</v>
      </c>
      <c r="D18" s="39" t="e">
        <f aca="false">C18+$B$8</f>
        <v>#NAME?</v>
      </c>
      <c r="E18" s="50" t="e">
        <f aca="false">D18/$B$9</f>
        <v>#NAME?</v>
      </c>
      <c r="F18" s="19" t="e">
        <f aca="false">E18/$B$10-1</f>
        <v>#NAME?</v>
      </c>
      <c r="G18" s="1" t="s">
        <v>323</v>
      </c>
      <c r="H18" s="1" t="s">
        <v>319</v>
      </c>
    </row>
    <row r="19" customFormat="false" ht="15" hidden="false" customHeight="true" outlineLevel="0" collapsed="false">
      <c r="A19" s="1" t="s">
        <v>324</v>
      </c>
      <c r="B19" s="36" t="n">
        <f aca="false">'IPO Snapshot'!B22</f>
        <v>18.7061581396043</v>
      </c>
      <c r="C19" s="39" t="n">
        <f aca="false">B19*$B$7</f>
        <v>50113.797656</v>
      </c>
      <c r="D19" s="39" t="n">
        <f aca="false">C19+$B$8</f>
        <v>52328.797656</v>
      </c>
      <c r="E19" s="50" t="n">
        <f aca="false">D19/$B$9</f>
        <v>51</v>
      </c>
      <c r="F19" s="19" t="n">
        <f aca="false">E19/$B$10-1</f>
        <v>0</v>
      </c>
      <c r="G19" s="1" t="s">
        <v>325</v>
      </c>
      <c r="H19" s="1" t="s">
        <v>294</v>
      </c>
    </row>
    <row r="22" customFormat="false" ht="15" hidden="false" customHeight="true" outlineLevel="0" collapsed="false">
      <c r="A22" s="14" t="s">
        <v>326</v>
      </c>
      <c r="B22" s="14"/>
      <c r="C22" s="14"/>
      <c r="D22" s="14"/>
      <c r="E22" s="14"/>
      <c r="F22" s="14"/>
      <c r="G22" s="14"/>
      <c r="H22" s="14"/>
    </row>
    <row r="23" customFormat="false" ht="15" hidden="false" customHeight="true" outlineLevel="0" collapsed="false">
      <c r="A23" s="51" t="s">
        <v>327</v>
      </c>
      <c r="B23" s="51"/>
      <c r="C23" s="51"/>
      <c r="D23" s="51"/>
      <c r="E23" s="51"/>
      <c r="F23" s="51"/>
      <c r="G23" s="51"/>
      <c r="H23" s="51"/>
    </row>
    <row r="24" customFormat="false" ht="15" hidden="false" customHeight="true" outlineLevel="0" collapsed="false">
      <c r="A24" s="51"/>
      <c r="B24" s="51"/>
      <c r="C24" s="51"/>
      <c r="D24" s="51"/>
      <c r="E24" s="51"/>
      <c r="F24" s="51"/>
      <c r="G24" s="51"/>
      <c r="H24" s="51"/>
    </row>
    <row r="25" customFormat="false" ht="15" hidden="false" customHeight="true" outlineLevel="0" collapsed="false">
      <c r="A25" s="51"/>
      <c r="B25" s="51"/>
      <c r="C25" s="51"/>
      <c r="D25" s="51"/>
      <c r="E25" s="51"/>
      <c r="F25" s="51"/>
      <c r="G25" s="51"/>
      <c r="H25" s="51"/>
    </row>
    <row r="26" customFormat="false" ht="15" hidden="false" customHeight="true" outlineLevel="0" collapsed="false">
      <c r="A26" s="51"/>
      <c r="B26" s="51"/>
      <c r="C26" s="51"/>
      <c r="D26" s="51"/>
      <c r="E26" s="51"/>
      <c r="F26" s="51"/>
      <c r="G26" s="51"/>
      <c r="H26" s="51"/>
    </row>
    <row r="27" customFormat="false" ht="15" hidden="false" customHeight="true" outlineLevel="0" collapsed="false">
      <c r="A27" s="51"/>
      <c r="B27" s="51"/>
      <c r="C27" s="51"/>
      <c r="D27" s="51"/>
      <c r="E27" s="51"/>
      <c r="F27" s="51"/>
      <c r="G27" s="51"/>
      <c r="H27" s="51"/>
    </row>
  </sheetData>
  <mergeCells count="6">
    <mergeCell ref="A1:H2"/>
    <mergeCell ref="A3:H3"/>
    <mergeCell ref="A5:H5"/>
    <mergeCell ref="A14:H14"/>
    <mergeCell ref="A22:H22"/>
    <mergeCell ref="A23:H2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47" width="42"/>
    <col collapsed="false" customWidth="true" hidden="false" outlineLevel="0" max="7" min="2" style="47" width="13"/>
    <col collapsed="false" customWidth="true" hidden="false" outlineLevel="0" max="8" min="8" style="47" width="40"/>
  </cols>
  <sheetData>
    <row r="1" customFormat="false" ht="17.25" hidden="false" customHeight="true" outlineLevel="0" collapsed="false">
      <c r="A1" s="52" t="s">
        <v>328</v>
      </c>
      <c r="B1" s="53"/>
      <c r="C1" s="53"/>
      <c r="D1" s="53"/>
      <c r="E1" s="53"/>
      <c r="F1" s="53"/>
      <c r="G1" s="53"/>
    </row>
    <row r="2" customFormat="false" ht="15" hidden="false" customHeight="true" outlineLevel="0" collapsed="false">
      <c r="A2" s="54" t="s">
        <v>329</v>
      </c>
      <c r="B2" s="54"/>
      <c r="C2" s="54"/>
      <c r="D2" s="54"/>
      <c r="E2" s="54"/>
      <c r="F2" s="54"/>
      <c r="G2" s="54"/>
    </row>
    <row r="4" customFormat="false" ht="15" hidden="false" customHeight="true" outlineLevel="0" collapsed="false">
      <c r="A4" s="55" t="s">
        <v>330</v>
      </c>
    </row>
    <row r="5" customFormat="false" ht="15" hidden="false" customHeight="true" outlineLevel="0" collapsed="false">
      <c r="A5" s="56" t="s">
        <v>331</v>
      </c>
      <c r="B5" s="56" t="s">
        <v>207</v>
      </c>
      <c r="C5" s="56" t="s">
        <v>208</v>
      </c>
    </row>
    <row r="6" customFormat="false" ht="15" hidden="false" customHeight="true" outlineLevel="0" collapsed="false">
      <c r="A6" s="57" t="s">
        <v>332</v>
      </c>
      <c r="B6" s="58" t="n">
        <v>0.0474</v>
      </c>
      <c r="C6" s="59" t="s">
        <v>333</v>
      </c>
    </row>
    <row r="7" customFormat="false" ht="15" hidden="false" customHeight="true" outlineLevel="0" collapsed="false">
      <c r="A7" s="57" t="s">
        <v>334</v>
      </c>
      <c r="B7" s="58" t="n">
        <v>0.0423</v>
      </c>
      <c r="C7" s="59" t="s">
        <v>335</v>
      </c>
    </row>
    <row r="8" customFormat="false" ht="15" hidden="false" customHeight="true" outlineLevel="0" collapsed="false">
      <c r="A8" s="57" t="s">
        <v>336</v>
      </c>
      <c r="B8" s="60" t="n">
        <v>1.2</v>
      </c>
      <c r="C8" s="59" t="s">
        <v>337</v>
      </c>
    </row>
    <row r="9" customFormat="false" ht="15" hidden="false" customHeight="true" outlineLevel="0" collapsed="false">
      <c r="A9" s="61" t="s">
        <v>338</v>
      </c>
      <c r="B9" s="62" t="n">
        <f aca="false">B6+B8*B7</f>
        <v>0.09816</v>
      </c>
      <c r="C9" s="63" t="s">
        <v>339</v>
      </c>
    </row>
    <row r="10" customFormat="false" ht="15" hidden="false" customHeight="true" outlineLevel="0" collapsed="false">
      <c r="A10" s="57" t="s">
        <v>340</v>
      </c>
      <c r="B10" s="59" t="s">
        <v>341</v>
      </c>
      <c r="C10" s="59" t="s">
        <v>342</v>
      </c>
    </row>
    <row r="11" customFormat="false" ht="15" hidden="false" customHeight="true" outlineLevel="0" collapsed="false">
      <c r="A11" s="61" t="s">
        <v>343</v>
      </c>
      <c r="B11" s="62" t="n">
        <f aca="false">B9</f>
        <v>0.09816</v>
      </c>
      <c r="C11" s="63" t="s">
        <v>344</v>
      </c>
    </row>
    <row r="13" customFormat="false" ht="15" hidden="false" customHeight="true" outlineLevel="0" collapsed="false">
      <c r="A13" s="55" t="s">
        <v>345</v>
      </c>
    </row>
    <row r="14" customFormat="false" ht="15" hidden="false" customHeight="true" outlineLevel="0" collapsed="false">
      <c r="A14" s="56" t="s">
        <v>206</v>
      </c>
      <c r="B14" s="56" t="s">
        <v>39</v>
      </c>
      <c r="C14" s="56" t="s">
        <v>346</v>
      </c>
      <c r="D14" s="56" t="s">
        <v>347</v>
      </c>
      <c r="E14" s="56" t="s">
        <v>348</v>
      </c>
      <c r="F14" s="56" t="s">
        <v>349</v>
      </c>
      <c r="G14" s="56" t="s">
        <v>350</v>
      </c>
    </row>
    <row r="15" customFormat="false" ht="15" hidden="false" customHeight="true" outlineLevel="0" collapsed="false">
      <c r="A15" s="57" t="s">
        <v>351</v>
      </c>
      <c r="B15" s="64" t="n">
        <v>2307</v>
      </c>
      <c r="C15" s="65" t="n">
        <f aca="false">B15*(1+0.25)</f>
        <v>2883.75</v>
      </c>
      <c r="D15" s="65" t="n">
        <f aca="false">C15*(1+0.21)</f>
        <v>3489.3375</v>
      </c>
      <c r="E15" s="65" t="n">
        <f aca="false">D15*(1+0.17)</f>
        <v>4082.524875</v>
      </c>
      <c r="F15" s="65" t="n">
        <f aca="false">E15*(1+0.13)</f>
        <v>4613.25310875</v>
      </c>
      <c r="G15" s="65" t="n">
        <f aca="false">F15*(1+0.1)</f>
        <v>5074.578419625</v>
      </c>
    </row>
    <row r="16" customFormat="false" ht="15" hidden="false" customHeight="true" outlineLevel="0" collapsed="false">
      <c r="A16" s="57" t="s">
        <v>44</v>
      </c>
      <c r="B16" s="64" t="n">
        <v>2613</v>
      </c>
      <c r="C16" s="65" t="n">
        <f aca="false">B16*(1+0.2)</f>
        <v>3135.6</v>
      </c>
      <c r="D16" s="65" t="n">
        <f aca="false">C16*(1+0.18)</f>
        <v>3700.008</v>
      </c>
      <c r="E16" s="65" t="n">
        <f aca="false">D16*(1+0.16)</f>
        <v>4292.00928</v>
      </c>
      <c r="F16" s="65" t="n">
        <f aca="false">E16*(1+0.14)</f>
        <v>4892.8905792</v>
      </c>
      <c r="G16" s="65" t="n">
        <f aca="false">F16*(1+0.12)</f>
        <v>5480.037448704</v>
      </c>
    </row>
    <row r="17" customFormat="false" ht="15" hidden="false" customHeight="true" outlineLevel="0" collapsed="false">
      <c r="A17" s="61" t="s">
        <v>45</v>
      </c>
      <c r="B17" s="66" t="n">
        <f aca="false">B15+B16</f>
        <v>4920</v>
      </c>
      <c r="C17" s="66" t="n">
        <f aca="false">C15+C16</f>
        <v>6019.35</v>
      </c>
      <c r="D17" s="66" t="n">
        <f aca="false">D15+D16</f>
        <v>7189.3455</v>
      </c>
      <c r="E17" s="66" t="n">
        <f aca="false">E15+E16</f>
        <v>8374.534155</v>
      </c>
      <c r="F17" s="66" t="n">
        <f aca="false">F15+F16</f>
        <v>9506.14368795</v>
      </c>
      <c r="G17" s="66" t="n">
        <f aca="false">G15+G16</f>
        <v>10554.615868329</v>
      </c>
    </row>
    <row r="19" customFormat="false" ht="15" hidden="false" customHeight="true" outlineLevel="0" collapsed="false">
      <c r="A19" s="57" t="s">
        <v>352</v>
      </c>
      <c r="B19" s="58" t="n">
        <v>0.43</v>
      </c>
      <c r="C19" s="58" t="n">
        <v>0.44</v>
      </c>
      <c r="D19" s="58" t="n">
        <v>0.45</v>
      </c>
      <c r="E19" s="58" t="n">
        <v>0.458</v>
      </c>
      <c r="F19" s="58" t="n">
        <v>0.465</v>
      </c>
      <c r="G19" s="67" t="n">
        <v>0.47</v>
      </c>
      <c r="H19" s="68" t="s">
        <v>353</v>
      </c>
    </row>
    <row r="20" customFormat="false" ht="15" hidden="false" customHeight="true" outlineLevel="0" collapsed="false">
      <c r="A20" s="57" t="s">
        <v>354</v>
      </c>
      <c r="B20" s="65" t="n">
        <f aca="false">B17*B19</f>
        <v>2115.6</v>
      </c>
      <c r="C20" s="65" t="n">
        <f aca="false">C17*C19</f>
        <v>2648.514</v>
      </c>
      <c r="D20" s="65" t="n">
        <f aca="false">D17*D19</f>
        <v>3235.205475</v>
      </c>
      <c r="E20" s="65" t="n">
        <f aca="false">E17*E19</f>
        <v>3835.53664299</v>
      </c>
      <c r="F20" s="65" t="n">
        <f aca="false">F17*F19</f>
        <v>4420.35681489675</v>
      </c>
      <c r="G20" s="65" t="n">
        <f aca="false">G17*G19</f>
        <v>4960.66945811463</v>
      </c>
    </row>
    <row r="21" customFormat="false" ht="15" hidden="false" customHeight="true" outlineLevel="0" collapsed="false">
      <c r="A21" s="57" t="s">
        <v>355</v>
      </c>
      <c r="B21" s="58" t="n">
        <v>0.18</v>
      </c>
      <c r="H21" s="68" t="s">
        <v>356</v>
      </c>
    </row>
    <row r="22" customFormat="false" ht="15" hidden="false" customHeight="true" outlineLevel="0" collapsed="false">
      <c r="A22" s="57" t="s">
        <v>357</v>
      </c>
      <c r="B22" s="65" t="n">
        <f aca="false">B20*(1-$B$21)</f>
        <v>1734.792</v>
      </c>
      <c r="C22" s="65" t="n">
        <f aca="false">C20*(1-$B$21)</f>
        <v>2171.78148</v>
      </c>
      <c r="D22" s="65" t="n">
        <f aca="false">D20*(1-$B$21)</f>
        <v>2652.8684895</v>
      </c>
      <c r="E22" s="65" t="n">
        <f aca="false">E20*(1-$B$21)</f>
        <v>3145.1400472518</v>
      </c>
      <c r="F22" s="65" t="n">
        <f aca="false">F20*(1-$B$21)</f>
        <v>3624.69258821534</v>
      </c>
      <c r="G22" s="65" t="n">
        <f aca="false">G20*(1-$B$21)</f>
        <v>4067.748955654</v>
      </c>
    </row>
    <row r="23" customFormat="false" ht="15" hidden="false" customHeight="true" outlineLevel="0" collapsed="false">
      <c r="A23" s="57" t="s">
        <v>358</v>
      </c>
      <c r="B23" s="65" t="n">
        <f aca="false">B17*0.02</f>
        <v>98.4</v>
      </c>
      <c r="C23" s="65" t="n">
        <f aca="false">C17*0.02</f>
        <v>120.387</v>
      </c>
      <c r="D23" s="65" t="n">
        <f aca="false">D17*0.02</f>
        <v>143.78691</v>
      </c>
      <c r="E23" s="65" t="n">
        <f aca="false">E17*0.02</f>
        <v>167.4906831</v>
      </c>
      <c r="F23" s="65" t="n">
        <f aca="false">F17*0.02</f>
        <v>190.122873759</v>
      </c>
      <c r="G23" s="65" t="n">
        <f aca="false">G17*0.02</f>
        <v>211.09231736658</v>
      </c>
      <c r="H23" s="68" t="s">
        <v>359</v>
      </c>
    </row>
    <row r="24" customFormat="false" ht="15" hidden="false" customHeight="true" outlineLevel="0" collapsed="false">
      <c r="A24" s="57" t="s">
        <v>360</v>
      </c>
      <c r="B24" s="65" t="n">
        <f aca="false">-B17*0.025</f>
        <v>-123</v>
      </c>
      <c r="C24" s="65" t="n">
        <f aca="false">-C17*0.025</f>
        <v>-150.48375</v>
      </c>
      <c r="D24" s="65" t="n">
        <f aca="false">-D17*0.025</f>
        <v>-179.7336375</v>
      </c>
      <c r="E24" s="65" t="n">
        <f aca="false">-E17*0.025</f>
        <v>-209.363353875</v>
      </c>
      <c r="F24" s="65" t="n">
        <f aca="false">-F17*0.025</f>
        <v>-237.65359219875</v>
      </c>
      <c r="G24" s="65" t="n">
        <f aca="false">-G17*0.025</f>
        <v>-263.865396708225</v>
      </c>
      <c r="H24" s="68" t="s">
        <v>361</v>
      </c>
    </row>
    <row r="25" customFormat="false" ht="15" hidden="false" customHeight="true" outlineLevel="0" collapsed="false">
      <c r="A25" s="57" t="s">
        <v>362</v>
      </c>
      <c r="B25" s="65" t="n">
        <f aca="false">-B17*0.01</f>
        <v>-49.2</v>
      </c>
      <c r="C25" s="65" t="n">
        <f aca="false">-C17*0.01</f>
        <v>-60.1935</v>
      </c>
      <c r="D25" s="65" t="n">
        <f aca="false">-D17*0.01</f>
        <v>-71.893455</v>
      </c>
      <c r="E25" s="65" t="n">
        <f aca="false">-E17*0.01</f>
        <v>-83.74534155</v>
      </c>
      <c r="F25" s="65" t="n">
        <f aca="false">-F17*0.01</f>
        <v>-95.0614368795</v>
      </c>
      <c r="G25" s="65" t="n">
        <f aca="false">-G17*0.01</f>
        <v>-105.54615868329</v>
      </c>
      <c r="H25" s="68" t="s">
        <v>363</v>
      </c>
    </row>
    <row r="26" customFormat="false" ht="15" hidden="false" customHeight="true" outlineLevel="0" collapsed="false">
      <c r="A26" s="61" t="s">
        <v>364</v>
      </c>
      <c r="B26" s="66" t="n">
        <f aca="false">B22+B23+B24+B25</f>
        <v>1660.992</v>
      </c>
      <c r="C26" s="66" t="n">
        <f aca="false">C22+C23+C24+C25</f>
        <v>2081.49123</v>
      </c>
      <c r="D26" s="66" t="n">
        <f aca="false">D22+D23+D24+D25</f>
        <v>2545.028307</v>
      </c>
      <c r="E26" s="66" t="n">
        <f aca="false">E22+E23+E24+E25</f>
        <v>3019.5220349268</v>
      </c>
      <c r="F26" s="66" t="n">
        <f aca="false">F22+F23+F24+F25</f>
        <v>3482.10043289609</v>
      </c>
      <c r="G26" s="65" t="n">
        <f aca="false">G22+G23+G24+G25</f>
        <v>3909.42971762906</v>
      </c>
    </row>
    <row r="28" customFormat="false" ht="15" hidden="false" customHeight="true" outlineLevel="0" collapsed="false">
      <c r="A28" s="55" t="s">
        <v>365</v>
      </c>
    </row>
    <row r="29" customFormat="false" ht="15" hidden="false" customHeight="true" outlineLevel="0" collapsed="false">
      <c r="A29" s="56" t="s">
        <v>206</v>
      </c>
      <c r="B29" s="56" t="s">
        <v>346</v>
      </c>
      <c r="C29" s="56" t="s">
        <v>347</v>
      </c>
      <c r="D29" s="56" t="s">
        <v>348</v>
      </c>
      <c r="E29" s="56" t="s">
        <v>349</v>
      </c>
      <c r="F29" s="47" t="s">
        <v>350</v>
      </c>
    </row>
    <row r="30" customFormat="false" ht="15" hidden="false" customHeight="true" outlineLevel="0" collapsed="false">
      <c r="A30" s="57" t="s">
        <v>366</v>
      </c>
      <c r="B30" s="69" t="n">
        <v>1</v>
      </c>
      <c r="C30" s="69" t="n">
        <v>2</v>
      </c>
      <c r="D30" s="69" t="n">
        <v>3</v>
      </c>
      <c r="E30" s="69" t="n">
        <v>4</v>
      </c>
      <c r="F30" s="69" t="n">
        <v>5</v>
      </c>
    </row>
    <row r="31" customFormat="false" ht="15" hidden="false" customHeight="true" outlineLevel="0" collapsed="false">
      <c r="A31" s="57" t="s">
        <v>367</v>
      </c>
      <c r="B31" s="70" t="n">
        <f aca="false">1/(1+$B$11)^B30</f>
        <v>0.910614118161288</v>
      </c>
      <c r="C31" s="70" t="n">
        <f aca="false">1/(1+$B$11)^C30</f>
        <v>0.82921807219466</v>
      </c>
      <c r="D31" s="70" t="n">
        <f aca="false">1/(1+$B$11)^D30</f>
        <v>0.755097683574944</v>
      </c>
      <c r="E31" s="70" t="n">
        <f aca="false">1/(1+$B$11)^E30</f>
        <v>0.687602611254229</v>
      </c>
      <c r="F31" s="70" t="n">
        <f aca="false">1/(1+$B$11)^F30</f>
        <v>0.626140645492668</v>
      </c>
    </row>
    <row r="32" customFormat="false" ht="15" hidden="false" customHeight="true" outlineLevel="0" collapsed="false">
      <c r="A32" s="57" t="s">
        <v>368</v>
      </c>
      <c r="B32" s="65" t="n">
        <f aca="false">C26</f>
        <v>2081.49123</v>
      </c>
      <c r="C32" s="65" t="n">
        <f aca="false">D26</f>
        <v>2545.028307</v>
      </c>
      <c r="D32" s="65" t="n">
        <f aca="false">E26</f>
        <v>3019.5220349268</v>
      </c>
      <c r="E32" s="65" t="n">
        <f aca="false">F26</f>
        <v>3482.10043289609</v>
      </c>
      <c r="F32" s="65" t="n">
        <f aca="false">G26</f>
        <v>3909.42971762906</v>
      </c>
    </row>
    <row r="33" customFormat="false" ht="15" hidden="false" customHeight="true" outlineLevel="0" collapsed="false">
      <c r="A33" s="61" t="s">
        <v>369</v>
      </c>
      <c r="B33" s="66" t="n">
        <f aca="false">B32*B31</f>
        <v>1895.43530086691</v>
      </c>
      <c r="C33" s="66" t="n">
        <f aca="false">C32*C31</f>
        <v>2110.38346641138</v>
      </c>
      <c r="D33" s="66" t="n">
        <f aca="false">D32*D31</f>
        <v>2280.03409407673</v>
      </c>
      <c r="E33" s="66" t="n">
        <f aca="false">E32*E31</f>
        <v>2394.30135030883</v>
      </c>
      <c r="F33" s="66" t="n">
        <f aca="false">F32*F31</f>
        <v>2447.85284690448</v>
      </c>
    </row>
    <row r="35" customFormat="false" ht="15" hidden="false" customHeight="true" outlineLevel="0" collapsed="false">
      <c r="A35" s="57" t="s">
        <v>370</v>
      </c>
      <c r="B35" s="58" t="n">
        <v>0.035</v>
      </c>
      <c r="C35" s="68" t="s">
        <v>371</v>
      </c>
    </row>
    <row r="36" customFormat="false" ht="15" hidden="false" customHeight="true" outlineLevel="0" collapsed="false">
      <c r="A36" s="57" t="s">
        <v>372</v>
      </c>
      <c r="B36" s="65" t="n">
        <f aca="false">G26*(1+B35)/($B$11-B35)</f>
        <v>64063.6440428448</v>
      </c>
      <c r="C36" s="68" t="s">
        <v>373</v>
      </c>
    </row>
    <row r="37" customFormat="false" ht="15" hidden="false" customHeight="true" outlineLevel="0" collapsed="false">
      <c r="A37" s="61" t="s">
        <v>374</v>
      </c>
      <c r="B37" s="66" t="n">
        <f aca="false">B36*F31</f>
        <v>40112.8514335994</v>
      </c>
    </row>
    <row r="38" customFormat="false" ht="15" hidden="false" customHeight="true" outlineLevel="0" collapsed="false">
      <c r="A38" s="57" t="s">
        <v>375</v>
      </c>
      <c r="B38" s="71" t="n">
        <v>20</v>
      </c>
      <c r="C38" s="65" t="n">
        <f aca="false">B38*F17</f>
        <v>190122.873759</v>
      </c>
      <c r="D38" s="68" t="s">
        <v>376</v>
      </c>
    </row>
    <row r="41" customFormat="false" ht="15" hidden="false" customHeight="true" outlineLevel="0" collapsed="false">
      <c r="A41" s="55" t="s">
        <v>377</v>
      </c>
    </row>
    <row r="42" customFormat="false" ht="15" hidden="false" customHeight="true" outlineLevel="0" collapsed="false">
      <c r="A42" s="56" t="s">
        <v>206</v>
      </c>
      <c r="B42" s="56" t="s">
        <v>207</v>
      </c>
    </row>
    <row r="43" customFormat="false" ht="15" hidden="false" customHeight="true" outlineLevel="0" collapsed="false">
      <c r="A43" s="57" t="s">
        <v>378</v>
      </c>
      <c r="B43" s="65" t="n">
        <f aca="false">SUM(B33:F33)</f>
        <v>11128.0070585683</v>
      </c>
    </row>
    <row r="44" customFormat="false" ht="15" hidden="false" customHeight="true" outlineLevel="0" collapsed="false">
      <c r="A44" s="61" t="s">
        <v>228</v>
      </c>
      <c r="B44" s="66" t="n">
        <f aca="false">B43+B37</f>
        <v>51240.8584921677</v>
      </c>
    </row>
    <row r="45" customFormat="false" ht="15" hidden="false" customHeight="true" outlineLevel="0" collapsed="false">
      <c r="A45" s="57" t="s">
        <v>379</v>
      </c>
      <c r="B45" s="64" t="n">
        <f aca="false">'Post-IPO Performance'!C49</f>
        <v>3601</v>
      </c>
    </row>
    <row r="46" customFormat="false" ht="15" hidden="false" customHeight="true" outlineLevel="0" collapsed="false">
      <c r="A46" s="61" t="s">
        <v>314</v>
      </c>
      <c r="B46" s="66" t="n">
        <f aca="false">B44+B45</f>
        <v>54841.8584921677</v>
      </c>
    </row>
    <row r="47" customFormat="false" ht="15" hidden="false" customHeight="true" outlineLevel="0" collapsed="false">
      <c r="A47" s="57" t="s">
        <v>380</v>
      </c>
      <c r="B47" s="72" t="n">
        <f aca="false">'Post-IPO Performance'!C47</f>
        <v>1064.055252</v>
      </c>
    </row>
    <row r="48" customFormat="false" ht="15" hidden="false" customHeight="true" outlineLevel="0" collapsed="false">
      <c r="A48" s="61" t="s">
        <v>381</v>
      </c>
      <c r="B48" s="73" t="n">
        <f aca="false">B46/B47</f>
        <v>51.540423666052</v>
      </c>
    </row>
    <row r="49" customFormat="false" ht="15" hidden="false" customHeight="true" outlineLevel="0" collapsed="false">
      <c r="A49" s="57" t="s">
        <v>382</v>
      </c>
      <c r="B49" s="74" t="n">
        <f aca="false">'Post-IPO Performance'!C46</f>
        <v>272.21</v>
      </c>
    </row>
    <row r="50" customFormat="false" ht="15" hidden="false" customHeight="true" outlineLevel="0" collapsed="false">
      <c r="A50" s="61" t="s">
        <v>383</v>
      </c>
      <c r="B50" s="62" t="n">
        <f aca="false">B48/B49-1</f>
        <v>-0.810659330421175</v>
      </c>
    </row>
    <row r="52" customFormat="false" ht="15" hidden="false" customHeight="true" outlineLevel="0" collapsed="false">
      <c r="A52" s="55" t="s">
        <v>384</v>
      </c>
    </row>
    <row r="53" customFormat="false" ht="15" hidden="false" customHeight="true" outlineLevel="0" collapsed="false">
      <c r="A53" s="75" t="s">
        <v>385</v>
      </c>
      <c r="B53" s="76" t="n">
        <v>0.025</v>
      </c>
      <c r="C53" s="76" t="n">
        <v>0.03</v>
      </c>
      <c r="D53" s="76" t="n">
        <v>0.035</v>
      </c>
      <c r="E53" s="76" t="n">
        <v>0.04</v>
      </c>
      <c r="F53" s="76" t="n">
        <v>0.045</v>
      </c>
    </row>
    <row r="54" customFormat="false" ht="15" hidden="false" customHeight="true" outlineLevel="0" collapsed="false">
      <c r="A54" s="77" t="n">
        <v>0.078</v>
      </c>
      <c r="B54" s="78" t="n">
        <f aca="false">(SUMPRODUCT($C$26:$G$26,1/(1+$A54)^{1,2,3,4,5})+($G$26*(1+B$53)/($A54-B$53))/(1+$A54)^5+$B$45)/$B$47</f>
        <v>63.2788108354886</v>
      </c>
      <c r="C54" s="78" t="n">
        <f aca="false">(SUMPRODUCT($C$26:$G$26,1/(1+$A54)^{1,2,3,4,5})+($G$26*(1+C$53)/($A54-C$53))/(1+$A54)^5+$B$45)/$B$47</f>
        <v>68.6260189126459</v>
      </c>
      <c r="D54" s="78" t="n">
        <f aca="false">(SUMPRODUCT($C$26:$G$26,1/(1+$A54)^{1,2,3,4,5})+($G$26*(1+D$53)/($A54-D$53))/(1+$A54)^5+$B$45)/$B$47</f>
        <v>75.2167637519327</v>
      </c>
      <c r="E54" s="78" t="n">
        <f aca="false">(SUMPRODUCT($C$26:$G$26,1/(1+$A54)^{1,2,3,4,5})+($G$26*(1+E$53)/($A54-E$53))/(1+$A54)^5+$B$45)/$B$47</f>
        <v>83.541915127874</v>
      </c>
      <c r="F54" s="78" t="n">
        <f aca="false">(SUMPRODUCT($C$26:$G$26,1/(1+$A54)^{1,2,3,4,5})+($G$26*(1+F$53)/($A54-F$53))/(1+$A54)^5+$B$45)/$B$47</f>
        <v>94.3898396480399</v>
      </c>
    </row>
    <row r="55" customFormat="false" ht="15" hidden="false" customHeight="true" outlineLevel="0" collapsed="false">
      <c r="A55" s="77" t="n">
        <v>0.088</v>
      </c>
      <c r="B55" s="78" t="n">
        <f aca="false">(SUMPRODUCT($C$26:$G$26,1/(1+$A55)^{1,2,3,4,5})+($G$26*(1+B$53)/($A55-B$53))/(1+$A55)^5+$B$45)/$B$47</f>
        <v>53.3606544230737</v>
      </c>
      <c r="C55" s="78" t="n">
        <f aca="false">(SUMPRODUCT($C$26:$G$26,1/(1+$A55)^{1,2,3,4,5})+($G$26*(1+C$53)/($A55-C$53))/(1+$A55)^5+$B$45)/$B$47</f>
        <v>56.9485112987969</v>
      </c>
      <c r="D55" s="78" t="n">
        <f aca="false">(SUMPRODUCT($C$26:$G$26,1/(1+$A55)^{1,2,3,4,5})+($G$26*(1+D$53)/($A55-D$53))/(1+$A55)^5+$B$45)/$B$47</f>
        <v>61.2133223020149</v>
      </c>
      <c r="E55" s="78" t="n">
        <f aca="false">(SUMPRODUCT($C$26:$G$26,1/(1+$A55)^{1,2,3,4,5})+($G$26*(1+E$53)/($A55-E$53))/(1+$A55)^5+$B$45)/$B$47</f>
        <v>66.36663559757</v>
      </c>
      <c r="F55" s="78" t="n">
        <f aca="false">(SUMPRODUCT($C$26:$G$26,1/(1+$A55)^{1,2,3,4,5})+($G$26*(1+F$53)/($A55-F$53))/(1+$A55)^5+$B$45)/$B$47</f>
        <v>72.7183938455799</v>
      </c>
    </row>
    <row r="56" customFormat="false" ht="15" hidden="false" customHeight="true" outlineLevel="0" collapsed="false">
      <c r="A56" s="79" t="n">
        <f aca="false">$B$11</f>
        <v>0.09816</v>
      </c>
      <c r="B56" s="78" t="n">
        <f aca="false">(SUMPRODUCT($C$26:$G$26,1/(1+$A56)^{1,2,3,4,5})+($G$26*(1+B$53)/($A56-B$53))/(1+$A56)^5+$B$45)/$B$47</f>
        <v>46.0731485364188</v>
      </c>
      <c r="C56" s="78" t="n">
        <f aca="false">(SUMPRODUCT($C$26:$G$26,1/(1+$A56)^{1,2,3,4,5})+($G$26*(1+C$53)/($A56-C$53))/(1+$A56)^5+$B$45)/$B$47</f>
        <v>48.6062551765863</v>
      </c>
      <c r="D56" s="80" t="n">
        <f aca="false">(SUMPRODUCT($C$26:$G$26,1/(1+$A56)^{1,2,3,4,5})+($G$26*(1+D$53)/($A56-D$53))/(1+$A56)^5+$B$45)/$B$47</f>
        <v>51.540423666052</v>
      </c>
      <c r="E56" s="78" t="n">
        <f aca="false">(SUMPRODUCT($C$26:$G$26,1/(1+$A56)^{1,2,3,4,5})+($G$26*(1+E$53)/($A56-E$53))/(1+$A56)^5+$B$45)/$B$47</f>
        <v>54.9790915519182</v>
      </c>
      <c r="F56" s="78" t="n">
        <f aca="false">(SUMPRODUCT($C$26:$G$26,1/(1+$A56)^{1,2,3,4,5})+($G$26*(1+F$53)/($A56-F$53))/(1+$A56)^5+$B$45)/$B$47</f>
        <v>59.0646119370069</v>
      </c>
    </row>
    <row r="57" customFormat="false" ht="15" hidden="false" customHeight="true" outlineLevel="0" collapsed="false">
      <c r="A57" s="77" t="n">
        <v>0.108</v>
      </c>
      <c r="B57" s="78" t="n">
        <f aca="false">(SUMPRODUCT($C$26:$G$26,1/(1+$A57)^{1,2,3,4,5})+($G$26*(1+B$53)/($A57-B$53))/(1+$A57)^5+$B$45)/$B$47</f>
        <v>40.7260402185926</v>
      </c>
      <c r="C57" s="78" t="n">
        <f aca="false">(SUMPRODUCT($C$26:$G$26,1/(1+$A57)^{1,2,3,4,5})+($G$26*(1+C$53)/($A57-C$53))/(1+$A57)^5+$B$45)/$B$47</f>
        <v>42.6087678565105</v>
      </c>
      <c r="D57" s="78" t="n">
        <f aca="false">(SUMPRODUCT($C$26:$G$26,1/(1+$A57)^{1,2,3,4,5})+($G$26*(1+D$53)/($A57-D$53))/(1+$A57)^5+$B$45)/$B$47</f>
        <v>44.7494033900336</v>
      </c>
      <c r="E57" s="78" t="n">
        <f aca="false">(SUMPRODUCT($C$26:$G$26,1/(1+$A57)^{1,2,3,4,5})+($G$26*(1+E$53)/($A57-E$53))/(1+$A57)^5+$B$45)/$B$47</f>
        <v>47.2048382667218</v>
      </c>
      <c r="F57" s="78" t="n">
        <f aca="false">(SUMPRODUCT($C$26:$G$26,1/(1+$A57)^{1,2,3,4,5})+($G$26*(1+F$53)/($A57-F$53))/(1+$A57)^5+$B$45)/$B$47</f>
        <v>50.0500247111384</v>
      </c>
    </row>
    <row r="58" customFormat="false" ht="15" hidden="false" customHeight="true" outlineLevel="0" collapsed="false">
      <c r="A58" s="77" t="n">
        <v>0.118</v>
      </c>
      <c r="B58" s="78" t="n">
        <f aca="false">(SUMPRODUCT($C$26:$G$26,1/(1+$A58)^{1,2,3,4,5})+($G$26*(1+B$53)/($A58-B$53))/(1+$A58)^5+$B$45)/$B$47</f>
        <v>36.4599732030647</v>
      </c>
      <c r="C58" s="78" t="n">
        <f aca="false">(SUMPRODUCT($C$26:$G$26,1/(1+$A58)^{1,2,3,4,5})+($G$26*(1+C$53)/($A58-C$53))/(1+$A58)^5+$B$45)/$B$47</f>
        <v>37.8967403858294</v>
      </c>
      <c r="D58" s="78" t="n">
        <f aca="false">(SUMPRODUCT($C$26:$G$26,1/(1+$A58)^{1,2,3,4,5})+($G$26*(1+D$53)/($A58-D$53))/(1+$A58)^5+$B$45)/$B$47</f>
        <v>39.5066120484453</v>
      </c>
      <c r="E58" s="78" t="n">
        <f aca="false">(SUMPRODUCT($C$26:$G$26,1/(1+$A58)^{1,2,3,4,5})+($G$26*(1+E$53)/($A58-E$53))/(1+$A58)^5+$B$45)/$B$47</f>
        <v>41.3228775139606</v>
      </c>
      <c r="F58" s="78" t="n">
        <f aca="false">(SUMPRODUCT($C$26:$G$26,1/(1+$A58)^{1,2,3,4,5})+($G$26*(1+F$53)/($A58-F$53))/(1+$A58)^5+$B$45)/$B$47</f>
        <v>43.3879464679026</v>
      </c>
    </row>
    <row r="60" customFormat="false" ht="15" hidden="false" customHeight="true" outlineLevel="0" collapsed="false">
      <c r="A60" s="68" t="s">
        <v>386</v>
      </c>
    </row>
    <row r="62" customFormat="false" ht="15" hidden="false" customHeight="true" outlineLevel="0" collapsed="false">
      <c r="A62" s="55" t="s">
        <v>387</v>
      </c>
    </row>
    <row r="63" customFormat="false" ht="42" hidden="false" customHeight="true" outlineLevel="0" collapsed="false">
      <c r="A63" s="81" t="s">
        <v>388</v>
      </c>
      <c r="B63" s="81"/>
      <c r="C63" s="81"/>
      <c r="D63" s="81"/>
      <c r="E63" s="81"/>
      <c r="F63" s="81"/>
      <c r="G63" s="81"/>
      <c r="H63" s="81"/>
    </row>
    <row r="64" customFormat="false" ht="42" hidden="false" customHeight="true" outlineLevel="0" collapsed="false">
      <c r="A64" s="81" t="s">
        <v>389</v>
      </c>
      <c r="B64" s="81"/>
      <c r="C64" s="81"/>
      <c r="D64" s="81"/>
      <c r="E64" s="81"/>
      <c r="F64" s="81"/>
      <c r="G64" s="81"/>
      <c r="H64" s="81"/>
    </row>
    <row r="65" customFormat="false" ht="42" hidden="false" customHeight="true" outlineLevel="0" collapsed="false">
      <c r="A65" s="81" t="s">
        <v>390</v>
      </c>
      <c r="B65" s="81"/>
      <c r="C65" s="81"/>
      <c r="D65" s="81"/>
      <c r="E65" s="81"/>
      <c r="F65" s="81"/>
      <c r="G65" s="81"/>
      <c r="H65" s="81"/>
    </row>
    <row r="66" customFormat="false" ht="42" hidden="false" customHeight="true" outlineLevel="0" collapsed="false">
      <c r="A66" s="81" t="s">
        <v>391</v>
      </c>
      <c r="B66" s="81"/>
      <c r="C66" s="81"/>
      <c r="D66" s="81"/>
      <c r="E66" s="81"/>
      <c r="F66" s="81"/>
      <c r="G66" s="81"/>
      <c r="H66" s="81"/>
    </row>
  </sheetData>
  <mergeCells count="5">
    <mergeCell ref="A2:G2"/>
    <mergeCell ref="A63:H63"/>
    <mergeCell ref="A64:H64"/>
    <mergeCell ref="A65:H65"/>
    <mergeCell ref="A66:H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8"/>
    <col collapsed="false" customWidth="true" hidden="false" outlineLevel="0" max="5" min="5" style="1" width="44"/>
    <col collapsed="false" customWidth="true" hidden="false" outlineLevel="0" max="6" min="6" style="1" width="14"/>
  </cols>
  <sheetData>
    <row r="1" customFormat="false" ht="15" hidden="false" customHeight="true" outlineLevel="0" collapsed="false">
      <c r="A1" s="23" t="s">
        <v>392</v>
      </c>
      <c r="B1" s="23"/>
      <c r="C1" s="23"/>
      <c r="D1" s="23"/>
      <c r="E1" s="23"/>
      <c r="F1" s="23"/>
      <c r="G1" s="23"/>
      <c r="H1" s="23"/>
    </row>
    <row r="2" customFormat="false" ht="15" hidden="false" customHeight="true" outlineLevel="0" collapsed="false">
      <c r="A2" s="23"/>
      <c r="B2" s="23"/>
      <c r="C2" s="23"/>
      <c r="D2" s="23"/>
      <c r="E2" s="23"/>
      <c r="F2" s="23"/>
      <c r="G2" s="23"/>
      <c r="H2" s="23"/>
    </row>
    <row r="3" customFormat="false" ht="15" hidden="false" customHeight="true" outlineLevel="0" collapsed="false">
      <c r="A3" s="11" t="s">
        <v>393</v>
      </c>
      <c r="B3" s="11"/>
      <c r="C3" s="11"/>
      <c r="D3" s="11"/>
      <c r="E3" s="11"/>
      <c r="F3" s="11"/>
      <c r="G3" s="11"/>
      <c r="H3" s="11"/>
    </row>
    <row r="5" customFormat="false" ht="15" hidden="false" customHeight="true" outlineLevel="0" collapsed="false">
      <c r="A5" s="14" t="s">
        <v>394</v>
      </c>
      <c r="B5" s="14"/>
      <c r="C5" s="14"/>
      <c r="D5" s="14"/>
      <c r="E5" s="14"/>
      <c r="F5" s="14"/>
      <c r="G5" s="14"/>
      <c r="H5" s="14"/>
      <c r="J5" s="24" t="s">
        <v>71</v>
      </c>
      <c r="K5" s="24" t="s">
        <v>36</v>
      </c>
      <c r="L5" s="24" t="s">
        <v>37</v>
      </c>
      <c r="M5" s="24" t="s">
        <v>38</v>
      </c>
      <c r="N5" s="24" t="s">
        <v>39</v>
      </c>
    </row>
    <row r="6" customFormat="false" ht="15" hidden="false" customHeight="true" outlineLevel="0" collapsed="false">
      <c r="A6" s="24" t="s">
        <v>206</v>
      </c>
      <c r="B6" s="24" t="s">
        <v>36</v>
      </c>
      <c r="C6" s="24" t="s">
        <v>37</v>
      </c>
      <c r="D6" s="24" t="s">
        <v>38</v>
      </c>
      <c r="E6" s="24" t="s">
        <v>39</v>
      </c>
      <c r="F6" s="24" t="s">
        <v>395</v>
      </c>
      <c r="J6" s="47" t="s">
        <v>45</v>
      </c>
      <c r="K6" s="47" t="n">
        <v>2679</v>
      </c>
      <c r="L6" s="47" t="n">
        <v>3233</v>
      </c>
      <c r="M6" s="47" t="n">
        <v>4007</v>
      </c>
      <c r="N6" s="47" t="n">
        <v>4920</v>
      </c>
    </row>
    <row r="7" customFormat="false" ht="15" hidden="false" customHeight="true" outlineLevel="0" collapsed="false">
      <c r="A7" s="1" t="s">
        <v>396</v>
      </c>
      <c r="B7" s="15" t="n">
        <v>2679</v>
      </c>
      <c r="C7" s="15" t="n">
        <v>3233</v>
      </c>
      <c r="D7" s="15" t="n">
        <v>4007</v>
      </c>
      <c r="E7" s="15" t="n">
        <v>4920</v>
      </c>
      <c r="F7" s="19" t="n">
        <f aca="false">(E7/B7)^(1/3)-1</f>
        <v>0.22460904564605</v>
      </c>
      <c r="J7" s="47" t="s">
        <v>72</v>
      </c>
      <c r="K7" s="47" t="n">
        <v>1004</v>
      </c>
      <c r="L7" s="47" t="n">
        <v>1431</v>
      </c>
      <c r="M7" s="47" t="n">
        <v>1839</v>
      </c>
      <c r="N7" s="47" t="n">
        <v>2307</v>
      </c>
    </row>
    <row r="8" customFormat="false" ht="15" hidden="false" customHeight="true" outlineLevel="0" collapsed="false">
      <c r="A8" s="1" t="s">
        <v>42</v>
      </c>
      <c r="B8" s="15" t="n">
        <v>1004</v>
      </c>
      <c r="C8" s="15" t="n">
        <v>1431</v>
      </c>
      <c r="D8" s="15" t="n">
        <v>1839</v>
      </c>
      <c r="E8" s="15" t="n">
        <v>2307</v>
      </c>
      <c r="F8" s="19" t="n">
        <f aca="false">(E8/B8)^(1/3)-1</f>
        <v>0.319586793863467</v>
      </c>
      <c r="J8" s="47" t="s">
        <v>44</v>
      </c>
      <c r="K8" s="47" t="n">
        <v>1675</v>
      </c>
      <c r="L8" s="47" t="n">
        <v>1802</v>
      </c>
      <c r="M8" s="47" t="n">
        <v>2168</v>
      </c>
      <c r="N8" s="47" t="n">
        <v>2613</v>
      </c>
    </row>
    <row r="9" customFormat="false" ht="15" hidden="false" customHeight="true" outlineLevel="0" collapsed="false">
      <c r="A9" s="1" t="s">
        <v>44</v>
      </c>
      <c r="B9" s="15" t="n">
        <v>1675</v>
      </c>
      <c r="C9" s="15" t="n">
        <v>1802</v>
      </c>
      <c r="D9" s="15" t="n">
        <v>2168</v>
      </c>
      <c r="E9" s="15" t="n">
        <v>2613</v>
      </c>
      <c r="F9" s="19" t="n">
        <f aca="false">(E9/B9)^(1/3)-1</f>
        <v>0.159777999529799</v>
      </c>
    </row>
    <row r="10" customFormat="false" ht="15" hidden="false" customHeight="true" outlineLevel="0" collapsed="false">
      <c r="A10" s="1" t="s">
        <v>57</v>
      </c>
      <c r="B10" s="15" t="n">
        <v>671</v>
      </c>
      <c r="C10" s="15" t="n">
        <v>111</v>
      </c>
      <c r="D10" s="15" t="n">
        <v>831</v>
      </c>
      <c r="E10" s="15" t="n">
        <v>900</v>
      </c>
      <c r="F10" s="19" t="n">
        <f aca="false">(E10/B10)^(1/3)-1</f>
        <v>0.102825153629361</v>
      </c>
    </row>
    <row r="11" customFormat="false" ht="15" hidden="false" customHeight="true" outlineLevel="0" collapsed="false">
      <c r="A11" s="1" t="s">
        <v>60</v>
      </c>
      <c r="B11" s="15" t="n">
        <v>524</v>
      </c>
      <c r="C11" s="15" t="n">
        <v>306</v>
      </c>
      <c r="D11" s="15" t="n">
        <v>792</v>
      </c>
      <c r="E11" s="15" t="n">
        <v>904</v>
      </c>
      <c r="F11" s="19" t="n">
        <f aca="false">(E11/B11)^(1/3)-1</f>
        <v>0.199349378717842</v>
      </c>
    </row>
    <row r="12" customFormat="false" ht="15" hidden="false" customHeight="true" outlineLevel="0" collapsed="false">
      <c r="A12" s="1" t="s">
        <v>62</v>
      </c>
      <c r="B12" s="15" t="n">
        <v>0.51</v>
      </c>
      <c r="C12" s="15" t="n">
        <v>0.29</v>
      </c>
      <c r="D12" s="15" t="n">
        <v>0.75</v>
      </c>
      <c r="E12" s="15" t="n">
        <v>0.85</v>
      </c>
      <c r="F12" s="19" t="n">
        <f aca="false">(E12/B12)^(1/3)-1</f>
        <v>0.185631101496688</v>
      </c>
    </row>
    <row r="13" customFormat="false" ht="15" hidden="false" customHeight="true" outlineLevel="0" collapsed="false">
      <c r="A13" s="1" t="s">
        <v>83</v>
      </c>
      <c r="B13" s="33" t="n">
        <v>1554</v>
      </c>
      <c r="C13" s="33" t="n">
        <v>1923</v>
      </c>
      <c r="D13" s="33" t="n">
        <v>2085</v>
      </c>
      <c r="E13" s="33" t="n">
        <v>2751</v>
      </c>
      <c r="F13" s="19" t="n">
        <f aca="false">(E13/B13)^(1/3)-1</f>
        <v>0.209706066679255</v>
      </c>
    </row>
    <row r="14" customFormat="false" ht="15" hidden="false" customHeight="true" outlineLevel="0" collapsed="false">
      <c r="B14" s="15"/>
      <c r="C14" s="15"/>
      <c r="D14" s="15"/>
      <c r="E14" s="15"/>
      <c r="F14" s="19"/>
    </row>
    <row r="17" customFormat="false" ht="15" hidden="false" customHeight="true" outlineLevel="0" collapsed="false">
      <c r="A17" s="14" t="s">
        <v>397</v>
      </c>
      <c r="B17" s="14"/>
      <c r="C17" s="14"/>
      <c r="D17" s="14"/>
      <c r="E17" s="14"/>
      <c r="F17" s="14"/>
      <c r="G17" s="14"/>
      <c r="H17" s="14"/>
    </row>
    <row r="18" customFormat="false" ht="15" hidden="false" customHeight="true" outlineLevel="0" collapsed="false">
      <c r="A18" s="7" t="s">
        <v>398</v>
      </c>
      <c r="B18" s="7" t="s">
        <v>399</v>
      </c>
      <c r="C18" s="7" t="s">
        <v>400</v>
      </c>
      <c r="D18" s="7" t="s">
        <v>401</v>
      </c>
      <c r="E18" s="7" t="s">
        <v>316</v>
      </c>
      <c r="F18" s="7" t="s">
        <v>40</v>
      </c>
    </row>
    <row r="19" customFormat="false" ht="15" hidden="false" customHeight="true" outlineLevel="0" collapsed="false">
      <c r="A19" s="3" t="s">
        <v>175</v>
      </c>
      <c r="B19" s="3" t="s">
        <v>402</v>
      </c>
      <c r="C19" s="82" t="n">
        <v>63.59</v>
      </c>
      <c r="D19" s="83" t="n">
        <f aca="false">C19/51-1</f>
        <v>0.246862745098039</v>
      </c>
      <c r="E19" s="3" t="s">
        <v>403</v>
      </c>
      <c r="F19" s="3" t="s">
        <v>404</v>
      </c>
    </row>
    <row r="20" customFormat="false" ht="27.75" hidden="false" customHeight="true" outlineLevel="0" collapsed="false">
      <c r="A20" s="3" t="s">
        <v>180</v>
      </c>
      <c r="B20" s="3" t="s">
        <v>405</v>
      </c>
      <c r="C20" s="82" t="n">
        <v>129.5</v>
      </c>
      <c r="D20" s="83" t="n">
        <f aca="false">C20/51-1</f>
        <v>1.53921568627451</v>
      </c>
      <c r="E20" s="3" t="s">
        <v>406</v>
      </c>
      <c r="F20" s="3" t="s">
        <v>404</v>
      </c>
    </row>
    <row r="21" customFormat="false" ht="27.75" hidden="false" customHeight="true" outlineLevel="0" collapsed="false">
      <c r="A21" s="3" t="s">
        <v>185</v>
      </c>
      <c r="B21" s="3" t="s">
        <v>407</v>
      </c>
      <c r="C21" s="82"/>
      <c r="D21" s="83"/>
      <c r="E21" s="3" t="s">
        <v>408</v>
      </c>
      <c r="F21" s="3" t="s">
        <v>404</v>
      </c>
    </row>
    <row r="22" customFormat="false" ht="27.75" hidden="false" customHeight="true" outlineLevel="0" collapsed="false">
      <c r="A22" s="3" t="s">
        <v>190</v>
      </c>
      <c r="B22" s="3" t="s">
        <v>409</v>
      </c>
      <c r="C22" s="82" t="n">
        <v>266.43</v>
      </c>
      <c r="D22" s="83" t="n">
        <f aca="false">C22/51-1</f>
        <v>4.22411764705882</v>
      </c>
      <c r="E22" s="3" t="s">
        <v>410</v>
      </c>
      <c r="F22" s="3" t="s">
        <v>411</v>
      </c>
    </row>
    <row r="23" customFormat="false" ht="27.75" hidden="false" customHeight="true" outlineLevel="0" collapsed="false">
      <c r="A23" s="3" t="s">
        <v>195</v>
      </c>
      <c r="B23" s="3" t="s">
        <v>412</v>
      </c>
      <c r="C23" s="3"/>
      <c r="D23" s="3"/>
      <c r="E23" s="3" t="s">
        <v>413</v>
      </c>
      <c r="F23" s="3" t="s">
        <v>404</v>
      </c>
    </row>
    <row r="26" customFormat="false" ht="15" hidden="false" customHeight="true" outlineLevel="0" collapsed="false">
      <c r="A26" s="14" t="s">
        <v>414</v>
      </c>
      <c r="B26" s="14"/>
      <c r="C26" s="14"/>
      <c r="D26" s="14"/>
      <c r="E26" s="14"/>
      <c r="F26" s="14"/>
      <c r="G26" s="14"/>
      <c r="H26" s="14"/>
    </row>
    <row r="27" customFormat="false" ht="15" hidden="false" customHeight="true" outlineLevel="0" collapsed="false">
      <c r="A27" s="24" t="s">
        <v>206</v>
      </c>
      <c r="B27" s="24" t="s">
        <v>415</v>
      </c>
      <c r="C27" s="24" t="s">
        <v>416</v>
      </c>
      <c r="D27" s="24" t="s">
        <v>417</v>
      </c>
    </row>
    <row r="28" customFormat="false" ht="15" hidden="false" customHeight="true" outlineLevel="0" collapsed="false">
      <c r="A28" s="1" t="s">
        <v>396</v>
      </c>
      <c r="B28" s="25" t="n">
        <v>1290</v>
      </c>
      <c r="C28" s="84"/>
      <c r="D28" s="1" t="s">
        <v>418</v>
      </c>
    </row>
    <row r="29" customFormat="false" ht="15" hidden="false" customHeight="true" outlineLevel="0" collapsed="false">
      <c r="A29" s="1" t="s">
        <v>44</v>
      </c>
      <c r="B29" s="25" t="n">
        <v>715</v>
      </c>
      <c r="C29" s="84" t="n">
        <v>0.22</v>
      </c>
      <c r="D29" s="1" t="s">
        <v>419</v>
      </c>
    </row>
    <row r="30" customFormat="false" ht="15" hidden="false" customHeight="true" outlineLevel="0" collapsed="false">
      <c r="A30" s="1" t="s">
        <v>420</v>
      </c>
      <c r="B30" s="25" t="n">
        <v>574</v>
      </c>
      <c r="C30" s="84" t="n">
        <v>0.23</v>
      </c>
      <c r="D30" s="1" t="s">
        <v>421</v>
      </c>
    </row>
    <row r="31" customFormat="false" ht="15" hidden="false" customHeight="true" outlineLevel="0" collapsed="false">
      <c r="A31" s="1" t="s">
        <v>422</v>
      </c>
      <c r="B31" s="25" t="n">
        <v>1380</v>
      </c>
      <c r="C31" s="84"/>
      <c r="D31" s="1" t="s">
        <v>423</v>
      </c>
    </row>
    <row r="34" customFormat="false" ht="15" hidden="false" customHeight="true" outlineLevel="0" collapsed="false">
      <c r="A34" s="14" t="s">
        <v>424</v>
      </c>
      <c r="B34" s="14"/>
      <c r="C34" s="14"/>
      <c r="D34" s="14"/>
      <c r="E34" s="14"/>
      <c r="F34" s="14"/>
      <c r="G34" s="14"/>
      <c r="H34" s="14"/>
    </row>
    <row r="35" customFormat="false" ht="15" hidden="false" customHeight="true" outlineLevel="0" collapsed="false">
      <c r="A35" s="85" t="s">
        <v>425</v>
      </c>
      <c r="B35" s="85"/>
      <c r="C35" s="85"/>
      <c r="D35" s="85"/>
      <c r="E35" s="85"/>
      <c r="F35" s="85"/>
      <c r="G35" s="85"/>
      <c r="H35" s="85"/>
    </row>
    <row r="36" customFormat="false" ht="15" hidden="false" customHeight="true" outlineLevel="0" collapsed="false">
      <c r="A36" s="85"/>
      <c r="B36" s="85"/>
      <c r="C36" s="85"/>
      <c r="D36" s="85"/>
      <c r="E36" s="85"/>
      <c r="F36" s="85"/>
      <c r="G36" s="85"/>
      <c r="H36" s="85"/>
    </row>
    <row r="37" customFormat="false" ht="15" hidden="false" customHeight="true" outlineLevel="0" collapsed="false">
      <c r="A37" s="85"/>
      <c r="B37" s="85"/>
      <c r="C37" s="85"/>
      <c r="D37" s="85"/>
      <c r="E37" s="85"/>
      <c r="F37" s="85"/>
      <c r="G37" s="85"/>
      <c r="H37" s="85"/>
    </row>
    <row r="38" customFormat="false" ht="15" hidden="false" customHeight="true" outlineLevel="0" collapsed="false">
      <c r="A38" s="85"/>
      <c r="B38" s="85"/>
      <c r="C38" s="85"/>
      <c r="D38" s="85"/>
      <c r="E38" s="85"/>
      <c r="F38" s="85"/>
      <c r="G38" s="85"/>
      <c r="H38" s="85"/>
    </row>
    <row r="39" customFormat="false" ht="15" hidden="false" customHeight="true" outlineLevel="0" collapsed="false">
      <c r="A39" s="85"/>
      <c r="B39" s="85"/>
      <c r="C39" s="85"/>
      <c r="D39" s="85"/>
      <c r="E39" s="85"/>
      <c r="F39" s="85"/>
      <c r="G39" s="85"/>
      <c r="H39" s="85"/>
    </row>
    <row r="40" customFormat="false" ht="15" hidden="false" customHeight="true" outlineLevel="0" collapsed="false">
      <c r="A40" s="85"/>
      <c r="B40" s="85"/>
      <c r="C40" s="85"/>
      <c r="D40" s="85"/>
      <c r="E40" s="85"/>
      <c r="F40" s="85"/>
      <c r="G40" s="85"/>
      <c r="H40" s="85"/>
    </row>
    <row r="42" customFormat="false" ht="15" hidden="false" customHeight="true" outlineLevel="0" collapsed="false">
      <c r="A42" s="86" t="s">
        <v>426</v>
      </c>
      <c r="B42" s="87"/>
      <c r="C42" s="87"/>
      <c r="D42" s="87"/>
    </row>
    <row r="43" customFormat="false" ht="15" hidden="false" customHeight="true" outlineLevel="0" collapsed="false">
      <c r="A43" s="68" t="s">
        <v>427</v>
      </c>
    </row>
    <row r="45" customFormat="false" ht="15" hidden="false" customHeight="true" outlineLevel="0" collapsed="false">
      <c r="A45" s="56" t="s">
        <v>206</v>
      </c>
      <c r="B45" s="56" t="s">
        <v>428</v>
      </c>
      <c r="C45" s="56" t="s">
        <v>429</v>
      </c>
      <c r="D45" s="56" t="s">
        <v>430</v>
      </c>
    </row>
    <row r="46" customFormat="false" ht="15" hidden="false" customHeight="true" outlineLevel="0" collapsed="false">
      <c r="A46" s="57" t="s">
        <v>263</v>
      </c>
      <c r="B46" s="88" t="n">
        <v>51</v>
      </c>
      <c r="C46" s="88" t="n">
        <v>272.21</v>
      </c>
      <c r="D46" s="89" t="n">
        <f aca="false">C46/B46</f>
        <v>5.33745098039216</v>
      </c>
    </row>
    <row r="47" customFormat="false" ht="15" hidden="false" customHeight="true" outlineLevel="0" collapsed="false">
      <c r="A47" s="57" t="s">
        <v>431</v>
      </c>
      <c r="B47" s="90" t="n">
        <v>1026.054856</v>
      </c>
      <c r="C47" s="90" t="n">
        <v>1064.055252</v>
      </c>
      <c r="D47" s="89" t="n">
        <f aca="false">C47/B47</f>
        <v>1.03703544286915</v>
      </c>
    </row>
    <row r="48" customFormat="false" ht="15" hidden="false" customHeight="true" outlineLevel="0" collapsed="false">
      <c r="A48" s="91" t="s">
        <v>432</v>
      </c>
      <c r="B48" s="65" t="n">
        <f aca="false">B46*B47</f>
        <v>52328.797656</v>
      </c>
      <c r="C48" s="65" t="n">
        <f aca="false">C46*C47</f>
        <v>289646.48014692</v>
      </c>
      <c r="D48" s="89" t="n">
        <f aca="false">C48/B48</f>
        <v>5.53512584124335</v>
      </c>
    </row>
    <row r="49" customFormat="false" ht="15" hidden="false" customHeight="true" outlineLevel="0" collapsed="false">
      <c r="A49" s="57" t="s">
        <v>308</v>
      </c>
      <c r="B49" s="92" t="n">
        <v>2215</v>
      </c>
      <c r="C49" s="92" t="n">
        <v>3601</v>
      </c>
      <c r="D49" s="89" t="n">
        <f aca="false">C49/B49</f>
        <v>1.62573363431151</v>
      </c>
    </row>
    <row r="50" customFormat="false" ht="15" hidden="false" customHeight="true" outlineLevel="0" collapsed="false">
      <c r="A50" s="91" t="s">
        <v>433</v>
      </c>
      <c r="B50" s="65" t="n">
        <f aca="false">B48-B49</f>
        <v>50113.797656</v>
      </c>
      <c r="C50" s="65" t="n">
        <f aca="false">C48-C49</f>
        <v>286045.48014692</v>
      </c>
      <c r="D50" s="89" t="n">
        <f aca="false">C50/B50</f>
        <v>5.7079186476835</v>
      </c>
    </row>
    <row r="52" customFormat="false" ht="15" hidden="false" customHeight="true" outlineLevel="0" collapsed="false">
      <c r="A52" s="57" t="s">
        <v>434</v>
      </c>
      <c r="B52" s="92" t="n">
        <v>2679</v>
      </c>
      <c r="C52" s="92" t="n">
        <v>4920</v>
      </c>
      <c r="D52" s="89" t="n">
        <f aca="false">C52/B52</f>
        <v>1.83650615901456</v>
      </c>
    </row>
    <row r="53" customFormat="false" ht="15" hidden="false" customHeight="true" outlineLevel="0" collapsed="false">
      <c r="A53" s="57" t="s">
        <v>435</v>
      </c>
      <c r="B53" s="88" t="n">
        <v>0.51</v>
      </c>
      <c r="C53" s="88" t="n">
        <v>0.85</v>
      </c>
      <c r="D53" s="89" t="n">
        <f aca="false">C53/B53</f>
        <v>1.66666666666667</v>
      </c>
    </row>
    <row r="55" customFormat="false" ht="15" hidden="false" customHeight="true" outlineLevel="0" collapsed="false">
      <c r="A55" s="91" t="s">
        <v>272</v>
      </c>
      <c r="B55" s="89" t="n">
        <f aca="false">B50/B52</f>
        <v>18.7061581396043</v>
      </c>
      <c r="C55" s="89" t="n">
        <f aca="false">C50/C52</f>
        <v>58.1393252331138</v>
      </c>
      <c r="D55" s="89" t="n">
        <f aca="false">C55/B55</f>
        <v>3.10803131242766</v>
      </c>
    </row>
    <row r="56" customFormat="false" ht="15" hidden="false" customHeight="true" outlineLevel="0" collapsed="false">
      <c r="A56" s="91" t="s">
        <v>274</v>
      </c>
      <c r="B56" s="89" t="n">
        <f aca="false">B46/B53</f>
        <v>100</v>
      </c>
      <c r="C56" s="89" t="n">
        <f aca="false">C46/C53</f>
        <v>320.247058823529</v>
      </c>
      <c r="D56" s="89" t="n">
        <f aca="false">C56/B56</f>
        <v>3.20247058823529</v>
      </c>
    </row>
    <row r="59" customFormat="false" ht="15" hidden="false" customHeight="true" outlineLevel="0" collapsed="false">
      <c r="A59" s="86" t="s">
        <v>436</v>
      </c>
      <c r="B59" s="87"/>
      <c r="C59" s="87"/>
      <c r="D59" s="87"/>
    </row>
    <row r="60" customFormat="false" ht="15" hidden="false" customHeight="true" outlineLevel="0" collapsed="false">
      <c r="A60" s="55" t="s">
        <v>437</v>
      </c>
      <c r="B60" s="93" t="n">
        <f aca="false">C46/B46</f>
        <v>5.33745098039216</v>
      </c>
    </row>
    <row r="61" customFormat="false" ht="15" hidden="false" customHeight="true" outlineLevel="0" collapsed="false">
      <c r="A61" s="94" t="s">
        <v>438</v>
      </c>
      <c r="B61" s="93" t="n">
        <f aca="false">C53/B53</f>
        <v>1.66666666666667</v>
      </c>
    </row>
    <row r="62" customFormat="false" ht="15" hidden="false" customHeight="true" outlineLevel="0" collapsed="false">
      <c r="A62" s="94" t="s">
        <v>439</v>
      </c>
      <c r="B62" s="93" t="n">
        <f aca="false">C56/B56</f>
        <v>3.20247058823529</v>
      </c>
    </row>
    <row r="63" customFormat="false" ht="15" hidden="false" customHeight="true" outlineLevel="0" collapsed="false">
      <c r="A63" s="68" t="s">
        <v>440</v>
      </c>
      <c r="B63" s="93" t="n">
        <f aca="false">B61*B62</f>
        <v>5.33745098039216</v>
      </c>
      <c r="C63" s="95" t="n">
        <f aca="false">B63-B60</f>
        <v>0</v>
      </c>
    </row>
    <row r="65" customFormat="false" ht="54.75" hidden="false" customHeight="true" outlineLevel="0" collapsed="false">
      <c r="A65" s="96" t="s">
        <v>441</v>
      </c>
      <c r="B65" s="96"/>
      <c r="C65" s="96"/>
      <c r="D65" s="96"/>
    </row>
  </sheetData>
  <mergeCells count="8">
    <mergeCell ref="A1:H2"/>
    <mergeCell ref="A3:H3"/>
    <mergeCell ref="A5:H5"/>
    <mergeCell ref="A17:H17"/>
    <mergeCell ref="A26:H26"/>
    <mergeCell ref="A34:H34"/>
    <mergeCell ref="A35:H40"/>
    <mergeCell ref="A65:D6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4" min="2" style="1" width="40"/>
    <col collapsed="false" customWidth="true" hidden="false" outlineLevel="0" max="5" min="5" style="1" width="18"/>
  </cols>
  <sheetData>
    <row r="1" customFormat="false" ht="15" hidden="false" customHeight="true" outlineLevel="0" collapsed="false">
      <c r="A1" s="23" t="s">
        <v>442</v>
      </c>
      <c r="B1" s="23"/>
      <c r="C1" s="23"/>
      <c r="D1" s="23"/>
      <c r="E1" s="23"/>
      <c r="F1" s="23"/>
      <c r="G1" s="23"/>
      <c r="H1" s="23"/>
    </row>
    <row r="2" customFormat="false" ht="15" hidden="false" customHeight="true" outlineLevel="0" collapsed="false">
      <c r="A2" s="23"/>
      <c r="B2" s="23"/>
      <c r="C2" s="23"/>
      <c r="D2" s="23"/>
      <c r="E2" s="23"/>
      <c r="F2" s="23"/>
      <c r="G2" s="23"/>
      <c r="H2" s="23"/>
    </row>
    <row r="3" customFormat="false" ht="15" hidden="false" customHeight="true" outlineLevel="0" collapsed="false">
      <c r="A3" s="11" t="s">
        <v>443</v>
      </c>
      <c r="B3" s="11"/>
      <c r="C3" s="11"/>
      <c r="D3" s="11"/>
      <c r="E3" s="11"/>
      <c r="F3" s="11"/>
      <c r="G3" s="11"/>
      <c r="H3" s="11"/>
    </row>
    <row r="5" customFormat="false" ht="15" hidden="false" customHeight="true" outlineLevel="0" collapsed="false">
      <c r="A5" s="14" t="s">
        <v>444</v>
      </c>
      <c r="B5" s="14"/>
      <c r="C5" s="14"/>
      <c r="D5" s="14"/>
      <c r="E5" s="14"/>
      <c r="F5" s="14"/>
      <c r="G5" s="14"/>
      <c r="H5" s="14"/>
    </row>
    <row r="6" customFormat="false" ht="15" hidden="false" customHeight="true" outlineLevel="0" collapsed="false">
      <c r="A6" s="7" t="s">
        <v>445</v>
      </c>
      <c r="B6" s="7" t="s">
        <v>446</v>
      </c>
      <c r="C6" s="7" t="s">
        <v>447</v>
      </c>
      <c r="D6" s="7" t="s">
        <v>448</v>
      </c>
      <c r="E6" s="7" t="s">
        <v>449</v>
      </c>
    </row>
    <row r="7" customFormat="false" ht="27.75" hidden="false" customHeight="true" outlineLevel="0" collapsed="false">
      <c r="A7" s="3" t="s">
        <v>450</v>
      </c>
      <c r="B7" s="3" t="s">
        <v>451</v>
      </c>
      <c r="C7" s="3" t="s">
        <v>452</v>
      </c>
      <c r="D7" s="3" t="s">
        <v>453</v>
      </c>
      <c r="E7" s="3" t="s">
        <v>454</v>
      </c>
    </row>
    <row r="8" customFormat="false" ht="27.75" hidden="false" customHeight="true" outlineLevel="0" collapsed="false">
      <c r="A8" s="3" t="s">
        <v>455</v>
      </c>
      <c r="B8" s="3" t="s">
        <v>456</v>
      </c>
      <c r="C8" s="3" t="s">
        <v>457</v>
      </c>
      <c r="D8" s="3" t="s">
        <v>458</v>
      </c>
      <c r="E8" s="3" t="s">
        <v>459</v>
      </c>
    </row>
    <row r="9" customFormat="false" ht="27.75" hidden="false" customHeight="true" outlineLevel="0" collapsed="false">
      <c r="A9" s="3" t="s">
        <v>460</v>
      </c>
      <c r="B9" s="3" t="s">
        <v>461</v>
      </c>
      <c r="C9" s="3" t="s">
        <v>462</v>
      </c>
      <c r="D9" s="3" t="s">
        <v>463</v>
      </c>
      <c r="E9" s="3" t="s">
        <v>454</v>
      </c>
    </row>
    <row r="10" customFormat="false" ht="27.75" hidden="false" customHeight="true" outlineLevel="0" collapsed="false">
      <c r="A10" s="3" t="s">
        <v>464</v>
      </c>
      <c r="B10" s="3" t="s">
        <v>465</v>
      </c>
      <c r="C10" s="3" t="s">
        <v>466</v>
      </c>
      <c r="D10" s="3" t="s">
        <v>467</v>
      </c>
      <c r="E10" s="3" t="s">
        <v>468</v>
      </c>
    </row>
    <row r="11" customFormat="false" ht="27.75" hidden="false" customHeight="true" outlineLevel="0" collapsed="false">
      <c r="A11" s="3" t="s">
        <v>469</v>
      </c>
      <c r="B11" s="3" t="s">
        <v>470</v>
      </c>
      <c r="C11" s="3" t="s">
        <v>471</v>
      </c>
      <c r="D11" s="3" t="s">
        <v>472</v>
      </c>
      <c r="E11" s="3" t="s">
        <v>473</v>
      </c>
    </row>
    <row r="12" customFormat="false" ht="27.75" hidden="false" customHeight="true" outlineLevel="0" collapsed="false">
      <c r="A12" s="3" t="s">
        <v>474</v>
      </c>
      <c r="B12" s="3" t="s">
        <v>475</v>
      </c>
      <c r="C12" s="3" t="s">
        <v>476</v>
      </c>
      <c r="D12" s="3" t="s">
        <v>477</v>
      </c>
      <c r="E12" s="3" t="s">
        <v>478</v>
      </c>
    </row>
    <row r="15" customFormat="false" ht="15" hidden="false" customHeight="true" outlineLevel="0" collapsed="false">
      <c r="A15" s="14" t="s">
        <v>479</v>
      </c>
      <c r="B15" s="14"/>
      <c r="C15" s="14"/>
      <c r="D15" s="14"/>
      <c r="E15" s="14"/>
      <c r="F15" s="14"/>
      <c r="G15" s="14"/>
      <c r="H15" s="14"/>
    </row>
    <row r="16" customFormat="false" ht="15" hidden="false" customHeight="true" outlineLevel="0" collapsed="false">
      <c r="A16" s="7" t="s">
        <v>480</v>
      </c>
      <c r="B16" s="7" t="s">
        <v>481</v>
      </c>
      <c r="C16" s="7" t="s">
        <v>482</v>
      </c>
      <c r="D16" s="7" t="s">
        <v>483</v>
      </c>
      <c r="E16" s="7" t="s">
        <v>484</v>
      </c>
    </row>
    <row r="17" customFormat="false" ht="27.75" hidden="false" customHeight="true" outlineLevel="0" collapsed="false">
      <c r="A17" s="3" t="s">
        <v>485</v>
      </c>
      <c r="B17" s="3" t="s">
        <v>486</v>
      </c>
      <c r="C17" s="3" t="s">
        <v>487</v>
      </c>
      <c r="D17" s="3" t="s">
        <v>488</v>
      </c>
      <c r="E17" s="3" t="s">
        <v>489</v>
      </c>
    </row>
    <row r="18" customFormat="false" ht="27.75" hidden="false" customHeight="true" outlineLevel="0" collapsed="false">
      <c r="A18" s="3" t="s">
        <v>490</v>
      </c>
      <c r="B18" s="3" t="s">
        <v>491</v>
      </c>
      <c r="C18" s="3" t="s">
        <v>492</v>
      </c>
      <c r="D18" s="3" t="s">
        <v>493</v>
      </c>
      <c r="E18" s="3" t="s">
        <v>489</v>
      </c>
    </row>
    <row r="19" customFormat="false" ht="27.75" hidden="false" customHeight="true" outlineLevel="0" collapsed="false">
      <c r="A19" s="3" t="s">
        <v>494</v>
      </c>
      <c r="B19" s="3" t="s">
        <v>495</v>
      </c>
      <c r="C19" s="3" t="s">
        <v>496</v>
      </c>
      <c r="D19" s="3" t="s">
        <v>497</v>
      </c>
      <c r="E19" s="3" t="s">
        <v>498</v>
      </c>
    </row>
    <row r="20" customFormat="false" ht="27.75" hidden="false" customHeight="true" outlineLevel="0" collapsed="false">
      <c r="A20" s="3" t="s">
        <v>499</v>
      </c>
      <c r="B20" s="3" t="s">
        <v>500</v>
      </c>
      <c r="C20" s="3" t="s">
        <v>501</v>
      </c>
      <c r="D20" s="3" t="s">
        <v>502</v>
      </c>
      <c r="E20" s="3" t="s">
        <v>503</v>
      </c>
    </row>
    <row r="21" customFormat="false" ht="27.75" hidden="false" customHeight="true" outlineLevel="0" collapsed="false">
      <c r="A21" s="3" t="s">
        <v>504</v>
      </c>
      <c r="B21" s="3" t="s">
        <v>505</v>
      </c>
      <c r="C21" s="3" t="s">
        <v>506</v>
      </c>
      <c r="D21" s="3" t="s">
        <v>507</v>
      </c>
      <c r="E21" s="3" t="s">
        <v>489</v>
      </c>
    </row>
    <row r="22" customFormat="false" ht="27.75" hidden="false" customHeight="true" outlineLevel="0" collapsed="false">
      <c r="A22" s="3" t="s">
        <v>508</v>
      </c>
      <c r="B22" s="3" t="s">
        <v>509</v>
      </c>
      <c r="C22" s="3" t="s">
        <v>510</v>
      </c>
      <c r="D22" s="3" t="s">
        <v>511</v>
      </c>
      <c r="E22" s="3" t="s">
        <v>489</v>
      </c>
    </row>
    <row r="23" customFormat="false" ht="27.75" hidden="false" customHeight="true" outlineLevel="0" collapsed="false">
      <c r="A23" s="3" t="s">
        <v>512</v>
      </c>
      <c r="B23" s="3" t="s">
        <v>513</v>
      </c>
      <c r="C23" s="3" t="s">
        <v>514</v>
      </c>
      <c r="D23" s="3" t="s">
        <v>515</v>
      </c>
      <c r="E23" s="3" t="s">
        <v>498</v>
      </c>
    </row>
    <row r="26" customFormat="false" ht="15" hidden="false" customHeight="true" outlineLevel="0" collapsed="false">
      <c r="A26" s="14" t="s">
        <v>516</v>
      </c>
      <c r="B26" s="14"/>
      <c r="C26" s="14"/>
      <c r="D26" s="14"/>
      <c r="E26" s="14"/>
      <c r="F26" s="14"/>
      <c r="G26" s="14"/>
      <c r="H26" s="14"/>
    </row>
    <row r="27" customFormat="false" ht="15" hidden="false" customHeight="true" outlineLevel="0" collapsed="false">
      <c r="A27" s="51" t="s">
        <v>517</v>
      </c>
      <c r="B27" s="51"/>
      <c r="C27" s="51"/>
      <c r="D27" s="51"/>
      <c r="E27" s="51"/>
      <c r="F27" s="51"/>
      <c r="G27" s="51"/>
      <c r="H27" s="51"/>
    </row>
    <row r="28" customFormat="false" ht="15" hidden="false" customHeight="true" outlineLevel="0" collapsed="false">
      <c r="A28" s="51"/>
      <c r="B28" s="51"/>
      <c r="C28" s="51"/>
      <c r="D28" s="51"/>
      <c r="E28" s="51"/>
      <c r="F28" s="51"/>
      <c r="G28" s="51"/>
      <c r="H28" s="51"/>
    </row>
    <row r="29" customFormat="false" ht="15" hidden="false" customHeight="true" outlineLevel="0" collapsed="false">
      <c r="A29" s="51"/>
      <c r="B29" s="51"/>
      <c r="C29" s="51"/>
      <c r="D29" s="51"/>
      <c r="E29" s="51"/>
      <c r="F29" s="51"/>
      <c r="G29" s="51"/>
      <c r="H29" s="51"/>
    </row>
    <row r="30" customFormat="false" ht="15" hidden="false" customHeight="true" outlineLevel="0" collapsed="false">
      <c r="A30" s="51"/>
      <c r="B30" s="51"/>
      <c r="C30" s="51"/>
      <c r="D30" s="51"/>
      <c r="E30" s="51"/>
      <c r="F30" s="51"/>
      <c r="G30" s="51"/>
      <c r="H30" s="51"/>
    </row>
    <row r="31" customFormat="false" ht="15" hidden="false" customHeight="true" outlineLevel="0" collapsed="false">
      <c r="A31" s="51"/>
      <c r="B31" s="51"/>
      <c r="C31" s="51"/>
      <c r="D31" s="51"/>
      <c r="E31" s="51"/>
      <c r="F31" s="51"/>
      <c r="G31" s="51"/>
      <c r="H31" s="51"/>
    </row>
    <row r="32" customFormat="false" ht="15" hidden="false" customHeight="true" outlineLevel="0" collapsed="false">
      <c r="A32" s="51"/>
      <c r="B32" s="51"/>
      <c r="C32" s="51"/>
      <c r="D32" s="51"/>
      <c r="E32" s="51"/>
      <c r="F32" s="51"/>
      <c r="G32" s="51"/>
      <c r="H32" s="51"/>
    </row>
  </sheetData>
  <mergeCells count="6">
    <mergeCell ref="A1:H2"/>
    <mergeCell ref="A3:H3"/>
    <mergeCell ref="A5:H5"/>
    <mergeCell ref="A15:H15"/>
    <mergeCell ref="A26:H26"/>
    <mergeCell ref="A27:H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8" min="2" style="1" width="16"/>
  </cols>
  <sheetData>
    <row r="1" customFormat="false" ht="15" hidden="false" customHeight="true" outlineLevel="0" collapsed="false">
      <c r="A1" s="23" t="s">
        <v>518</v>
      </c>
      <c r="B1" s="23"/>
      <c r="C1" s="23"/>
      <c r="D1" s="23"/>
      <c r="E1" s="23"/>
      <c r="F1" s="23"/>
      <c r="G1" s="23"/>
      <c r="H1" s="23"/>
    </row>
    <row r="2" customFormat="false" ht="15" hidden="false" customHeight="true" outlineLevel="0" collapsed="false">
      <c r="A2" s="23"/>
      <c r="B2" s="23"/>
      <c r="C2" s="23"/>
      <c r="D2" s="23"/>
      <c r="E2" s="23"/>
      <c r="F2" s="23"/>
      <c r="G2" s="23"/>
      <c r="H2" s="23"/>
    </row>
    <row r="4" customFormat="false" ht="15" hidden="false" customHeight="true" outlineLevel="0" collapsed="false">
      <c r="A4" s="14" t="s">
        <v>519</v>
      </c>
      <c r="B4" s="14"/>
      <c r="C4" s="14"/>
      <c r="D4" s="14"/>
      <c r="E4" s="14"/>
      <c r="F4" s="14"/>
      <c r="G4" s="14"/>
      <c r="H4" s="14"/>
    </row>
    <row r="5" customFormat="false" ht="15" hidden="false" customHeight="true" outlineLevel="0" collapsed="false">
      <c r="A5" s="46" t="s">
        <v>520</v>
      </c>
      <c r="B5" s="46"/>
      <c r="C5" s="46"/>
      <c r="D5" s="46"/>
      <c r="E5" s="46"/>
      <c r="F5" s="46"/>
      <c r="G5" s="46"/>
      <c r="H5" s="46"/>
    </row>
    <row r="6" customFormat="false" ht="15" hidden="false" customHeight="true" outlineLevel="0" collapsed="false">
      <c r="A6" s="46"/>
      <c r="B6" s="46"/>
      <c r="C6" s="46"/>
      <c r="D6" s="46"/>
      <c r="E6" s="46"/>
      <c r="F6" s="46"/>
      <c r="G6" s="46"/>
      <c r="H6" s="46"/>
    </row>
    <row r="8" customFormat="false" ht="15" hidden="false" customHeight="true" outlineLevel="0" collapsed="false">
      <c r="A8" s="14" t="s">
        <v>521</v>
      </c>
      <c r="B8" s="14"/>
      <c r="C8" s="14"/>
      <c r="D8" s="14"/>
      <c r="E8" s="14"/>
      <c r="F8" s="14"/>
      <c r="G8" s="14"/>
      <c r="H8" s="14"/>
    </row>
    <row r="9" customFormat="false" ht="15" hidden="false" customHeight="true" outlineLevel="0" collapsed="false">
      <c r="A9" s="6" t="s">
        <v>522</v>
      </c>
      <c r="B9" s="46" t="s">
        <v>523</v>
      </c>
      <c r="C9" s="46"/>
      <c r="D9" s="46"/>
      <c r="E9" s="46"/>
      <c r="F9" s="46"/>
      <c r="G9" s="46"/>
      <c r="H9" s="46"/>
    </row>
    <row r="10" customFormat="false" ht="15" hidden="false" customHeight="true" outlineLevel="0" collapsed="false">
      <c r="A10" s="6" t="s">
        <v>524</v>
      </c>
      <c r="B10" s="46" t="s">
        <v>525</v>
      </c>
      <c r="C10" s="46"/>
      <c r="D10" s="46"/>
      <c r="E10" s="46"/>
      <c r="F10" s="46"/>
      <c r="G10" s="46"/>
      <c r="H10" s="46"/>
    </row>
    <row r="11" customFormat="false" ht="27.75" hidden="false" customHeight="true" outlineLevel="0" collapsed="false">
      <c r="A11" s="6" t="s">
        <v>526</v>
      </c>
      <c r="B11" s="46" t="s">
        <v>527</v>
      </c>
      <c r="C11" s="46"/>
      <c r="D11" s="46"/>
      <c r="E11" s="46"/>
      <c r="F11" s="46"/>
      <c r="G11" s="46"/>
      <c r="H11" s="46"/>
    </row>
    <row r="12" customFormat="false" ht="27.75" hidden="false" customHeight="true" outlineLevel="0" collapsed="false">
      <c r="A12" s="6" t="s">
        <v>528</v>
      </c>
      <c r="B12" s="46" t="s">
        <v>529</v>
      </c>
      <c r="C12" s="46"/>
      <c r="D12" s="46"/>
      <c r="E12" s="46"/>
      <c r="F12" s="46"/>
      <c r="G12" s="46"/>
      <c r="H12" s="46"/>
    </row>
    <row r="13" customFormat="false" ht="27.75" hidden="false" customHeight="true" outlineLevel="0" collapsed="false">
      <c r="A13" s="6" t="s">
        <v>530</v>
      </c>
      <c r="B13" s="46" t="s">
        <v>531</v>
      </c>
      <c r="C13" s="46"/>
      <c r="D13" s="46"/>
      <c r="E13" s="46"/>
      <c r="F13" s="46"/>
      <c r="G13" s="46"/>
      <c r="H13" s="46"/>
    </row>
    <row r="14" customFormat="false" ht="27.75" hidden="false" customHeight="true" outlineLevel="0" collapsed="false">
      <c r="A14" s="6" t="s">
        <v>532</v>
      </c>
      <c r="B14" s="46" t="s">
        <v>533</v>
      </c>
      <c r="C14" s="46"/>
      <c r="D14" s="46"/>
      <c r="E14" s="46"/>
      <c r="F14" s="46"/>
      <c r="G14" s="46"/>
      <c r="H14" s="46"/>
    </row>
    <row r="15" customFormat="false" ht="27.75" hidden="false" customHeight="true" outlineLevel="0" collapsed="false">
      <c r="A15" s="6" t="s">
        <v>534</v>
      </c>
      <c r="B15" s="46" t="s">
        <v>535</v>
      </c>
      <c r="C15" s="46"/>
      <c r="D15" s="46"/>
      <c r="E15" s="46"/>
      <c r="F15" s="46"/>
      <c r="G15" s="46"/>
      <c r="H15" s="46"/>
    </row>
    <row r="16" customFormat="false" ht="27.75" hidden="false" customHeight="true" outlineLevel="0" collapsed="false">
      <c r="A16" s="6" t="s">
        <v>536</v>
      </c>
      <c r="B16" s="46" t="s">
        <v>537</v>
      </c>
      <c r="C16" s="46"/>
      <c r="D16" s="46"/>
      <c r="E16" s="46"/>
      <c r="F16" s="46"/>
      <c r="G16" s="46"/>
      <c r="H16" s="46"/>
    </row>
    <row r="19" customFormat="false" ht="15" hidden="false" customHeight="true" outlineLevel="0" collapsed="false">
      <c r="A19" s="14" t="s">
        <v>538</v>
      </c>
      <c r="B19" s="14"/>
      <c r="C19" s="14"/>
      <c r="D19" s="14"/>
      <c r="E19" s="14"/>
      <c r="F19" s="14"/>
      <c r="G19" s="14"/>
      <c r="H19" s="14"/>
    </row>
    <row r="20" customFormat="false" ht="15" hidden="false" customHeight="true" outlineLevel="0" collapsed="false">
      <c r="A20" s="8" t="s">
        <v>539</v>
      </c>
      <c r="B20" s="8"/>
      <c r="C20" s="8"/>
      <c r="D20" s="8"/>
      <c r="E20" s="8"/>
      <c r="F20" s="8"/>
      <c r="G20" s="8"/>
      <c r="H20" s="8"/>
    </row>
    <row r="21" customFormat="false" ht="15" hidden="false" customHeight="true" outlineLevel="0" collapsed="false">
      <c r="A21" s="8"/>
      <c r="B21" s="8"/>
      <c r="C21" s="8"/>
      <c r="D21" s="8"/>
      <c r="E21" s="8"/>
      <c r="F21" s="8"/>
      <c r="G21" s="8"/>
      <c r="H21" s="8"/>
    </row>
    <row r="22" customFormat="false" ht="15" hidden="false" customHeight="true" outlineLevel="0" collapsed="false">
      <c r="A22" s="8"/>
      <c r="B22" s="8"/>
      <c r="C22" s="8"/>
      <c r="D22" s="8"/>
      <c r="E22" s="8"/>
      <c r="F22" s="8"/>
      <c r="G22" s="8"/>
      <c r="H22" s="8"/>
    </row>
    <row r="23" customFormat="false" ht="15" hidden="false" customHeight="true" outlineLevel="0" collapsed="false">
      <c r="A23" s="8"/>
      <c r="B23" s="8"/>
      <c r="C23" s="8"/>
      <c r="D23" s="8"/>
      <c r="E23" s="8"/>
      <c r="F23" s="8"/>
      <c r="G23" s="8"/>
      <c r="H23" s="8"/>
    </row>
    <row r="24" customFormat="false" ht="15" hidden="false" customHeight="true" outlineLevel="0" collapsed="false">
      <c r="A24" s="8"/>
      <c r="B24" s="8"/>
      <c r="C24" s="8"/>
      <c r="D24" s="8"/>
      <c r="E24" s="8"/>
      <c r="F24" s="8"/>
      <c r="G24" s="8"/>
      <c r="H24" s="8"/>
    </row>
  </sheetData>
  <mergeCells count="14">
    <mergeCell ref="A1:H2"/>
    <mergeCell ref="A4:H4"/>
    <mergeCell ref="A5:H6"/>
    <mergeCell ref="A8:H8"/>
    <mergeCell ref="B9:H9"/>
    <mergeCell ref="B10:H10"/>
    <mergeCell ref="B11:H11"/>
    <mergeCell ref="B12:H12"/>
    <mergeCell ref="B13:H13"/>
    <mergeCell ref="B14:H14"/>
    <mergeCell ref="B15:H15"/>
    <mergeCell ref="B16:H16"/>
    <mergeCell ref="A19:H19"/>
    <mergeCell ref="A20:H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2026-08-10T16:21:53Z</dcterms:created>
  <dc:creator>openpyxl</dc:creator>
  <dc:description/>
  <dc:language>en-US</dc:language>
  <cp:lastModifiedBy/>
  <dcterms:modified xsi:type="dcterms:W3CDTF">2026-08-10T16:56:28Z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